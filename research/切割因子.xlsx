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Quant\hyc_quant_project\research\"/>
    </mc:Choice>
  </mc:AlternateContent>
  <xr:revisionPtr revIDLastSave="0" documentId="13_ncr:1_{2C5213F3-C357-49D2-A2C7-3CAF1383C16F}" xr6:coauthVersionLast="47" xr6:coauthVersionMax="47" xr10:uidLastSave="{00000000-0000-0000-0000-000000000000}"/>
  <bookViews>
    <workbookView xWindow="-110" yWindow="-110" windowWidth="25820" windowHeight="15500" xr2:uid="{EBFF2F23-A36E-4747-9257-95178BF7E0E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<sst xmlns="http://schemas.openxmlformats.org/spreadsheetml/2006/main" count="233" uniqueCount="75">
  <si>
    <t>一、结论</t>
    <phoneticPr fontId="2" type="noConversion"/>
  </si>
  <si>
    <t>二、研究步骤</t>
    <phoneticPr fontId="2" type="noConversion"/>
  </si>
  <si>
    <t>平均RankIC</t>
    <phoneticPr fontId="2" type="noConversion"/>
  </si>
  <si>
    <t>年化ICIR</t>
    <phoneticPr fontId="2" type="noConversion"/>
  </si>
  <si>
    <t>sum（即传统的20日动量）</t>
    <phoneticPr fontId="2" type="noConversion"/>
  </si>
  <si>
    <t>因子</t>
    <phoneticPr fontId="2" type="noConversion"/>
  </si>
  <si>
    <t>持仓周期</t>
    <phoneticPr fontId="2" type="noConversion"/>
  </si>
  <si>
    <t>股票池</t>
    <phoneticPr fontId="2" type="noConversion"/>
  </si>
  <si>
    <t>RankIC均值</t>
    <phoneticPr fontId="2" type="noConversion"/>
  </si>
  <si>
    <t>年化RankICIR</t>
    <phoneticPr fontId="2" type="noConversion"/>
  </si>
  <si>
    <t>IC月度胜率</t>
    <phoneticPr fontId="2" type="noConversion"/>
  </si>
  <si>
    <t>IC单调性</t>
    <phoneticPr fontId="2" type="noConversion"/>
  </si>
  <si>
    <t>多空年化收益</t>
    <phoneticPr fontId="2" type="noConversion"/>
  </si>
  <si>
    <t>多空夏普</t>
    <phoneticPr fontId="2" type="noConversion"/>
  </si>
  <si>
    <t>多头超额年化收益</t>
    <phoneticPr fontId="2" type="noConversion"/>
  </si>
  <si>
    <t>多头超额IR</t>
    <phoneticPr fontId="2" type="noConversion"/>
  </si>
  <si>
    <t>20D</t>
  </si>
  <si>
    <t>total</t>
  </si>
  <si>
    <t>top10线性衰减</t>
    <phoneticPr fontId="2" type="noConversion"/>
  </si>
  <si>
    <t>bottom10线性衰减</t>
    <phoneticPr fontId="2" type="noConversion"/>
  </si>
  <si>
    <t>top5等权</t>
    <phoneticPr fontId="2" type="noConversion"/>
  </si>
  <si>
    <t>top5线性衰减</t>
    <phoneticPr fontId="2" type="noConversion"/>
  </si>
  <si>
    <t>top5指数衰减</t>
    <phoneticPr fontId="2" type="noConversion"/>
  </si>
  <si>
    <t>top10等权</t>
    <phoneticPr fontId="2" type="noConversion"/>
  </si>
  <si>
    <t>top10指数衰减</t>
    <phoneticPr fontId="2" type="noConversion"/>
  </si>
  <si>
    <t>小单买入占比切割动量</t>
    <phoneticPr fontId="2" type="noConversion"/>
  </si>
  <si>
    <t>传统20日动量</t>
    <phoneticPr fontId="2" type="noConversion"/>
  </si>
  <si>
    <t>残差</t>
    <phoneticPr fontId="2" type="noConversion"/>
  </si>
  <si>
    <t>小单买入占比top10线性衰减</t>
    <phoneticPr fontId="2" type="noConversion"/>
  </si>
  <si>
    <t>小单买入占比bottom10线性衰减</t>
    <phoneticPr fontId="2" type="noConversion"/>
  </si>
  <si>
    <t>由于该因子的最终表达式还是某种动量，对传统的20日动量因子求残差（均是中性化之后，再求残差），其残差也有不错的效果，说明该因子是独立于动量的因子</t>
    <phoneticPr fontId="2" type="noConversion"/>
  </si>
  <si>
    <t>个股动量切割行业动量</t>
    <phoneticPr fontId="2" type="noConversion"/>
  </si>
  <si>
    <t>bottom5等权</t>
    <phoneticPr fontId="2" type="noConversion"/>
  </si>
  <si>
    <t>bottom5线性衰减</t>
    <phoneticPr fontId="2" type="noConversion"/>
  </si>
  <si>
    <t>bottom5指数衰减</t>
    <phoneticPr fontId="2" type="noConversion"/>
  </si>
  <si>
    <t>bottom10等权</t>
    <phoneticPr fontId="2" type="noConversion"/>
  </si>
  <si>
    <t>bottom10指数衰减</t>
    <phoneticPr fontId="2" type="noConversion"/>
  </si>
  <si>
    <t>1）大小单结构切割动量</t>
    <phoneticPr fontId="2" type="noConversion"/>
  </si>
  <si>
    <t>以A=大小单结构，B=动量为例，在每个观察日期，取个股最近20个交易日历，不足20个开盘日则剔除该个股</t>
    <phoneticPr fontId="2" type="noConversion"/>
  </si>
  <si>
    <t>个股过去N天的数据按指标A排序后，其序数对指标B有区分度，在此思想下构造“A切割B”因子，捕捉B中隐藏的A的结构信息，效果好于单纯B的聚合。因子绩效如下</t>
    <phoneticPr fontId="2" type="noConversion"/>
  </si>
  <si>
    <t>小/中/大/超大单，叉乘上买入/卖出/成交占比以及买卖不平衡（（买-卖）/（买+卖）），一共有16种排序，统一倒序；计算每种排序的20个序数当天的收益率与观察日期未来20天收益率的RankIC</t>
    <phoneticPr fontId="2" type="noConversion"/>
  </si>
  <si>
    <t>行业动量序数当天个股动量</t>
    <phoneticPr fontId="2" type="noConversion"/>
  </si>
  <si>
    <t>个股动量序数当天行业动量</t>
    <phoneticPr fontId="2" type="noConversion"/>
  </si>
  <si>
    <t>个股成交量加权动量序数当天行业动量</t>
    <phoneticPr fontId="2" type="noConversion"/>
  </si>
  <si>
    <t>将top5线性衰减-bottom15线性衰减再中性化命名为“个股动量切割行业动量”因子</t>
    <phoneticPr fontId="2" type="noConversion"/>
  </si>
  <si>
    <t>最显著的列是小单买入占比。小单买入占比多的交易日，其收益率呈现动量效应，小单买入占比少的交易日，其收益率呈现反转效应</t>
    <phoneticPr fontId="2" type="noConversion"/>
  </si>
  <si>
    <t>为了捕获动量中的小单买入结构，如下处理：对小单买入占比topN=5/10对应当天的收益率等权（简单求和）、线性衰减求和、指数衰减（半衰期=N）求和，再中性化；对bottom5/10也相同处理</t>
    <phoneticPr fontId="2" type="noConversion"/>
  </si>
  <si>
    <t>小单买入占比序数当天个股收益率</t>
    <phoneticPr fontId="2" type="noConversion"/>
  </si>
  <si>
    <t>2）个股动量切割行业动量</t>
    <phoneticPr fontId="2" type="noConversion"/>
  </si>
  <si>
    <t>bottom15线性衰减</t>
    <phoneticPr fontId="2" type="noConversion"/>
  </si>
  <si>
    <t>成交量加权动量切割行业动量</t>
    <phoneticPr fontId="2" type="noConversion"/>
  </si>
  <si>
    <t>收盘价切割振幅</t>
    <phoneticPr fontId="2" type="noConversion"/>
  </si>
  <si>
    <t>IC序列的相关性如下</t>
    <phoneticPr fontId="2" type="noConversion"/>
  </si>
  <si>
    <t>3）收盘价切割振幅</t>
    <phoneticPr fontId="2" type="noConversion"/>
  </si>
  <si>
    <t>收盘价序数当天振幅</t>
    <phoneticPr fontId="2" type="noConversion"/>
  </si>
  <si>
    <t>传统的20日振幅（（高-低）/昨收）求和已经有较显著的负向选股效果，用收盘价对振幅进行切割，发现高收盘价天数对应的振幅负向效果更强，而低收盘价振幅的效果较弱，即高位震荡对应后续下跌</t>
    <phoneticPr fontId="2" type="noConversion"/>
  </si>
  <si>
    <t>类似上面的思路，构造bottom-top的组合，命名为“收盘价切割振幅”因子</t>
    <phoneticPr fontId="2" type="noConversion"/>
  </si>
  <si>
    <t>20日振幅</t>
    <phoneticPr fontId="2" type="noConversion"/>
  </si>
  <si>
    <t>数据预处理</t>
    <phoneticPr fontId="2" type="noConversion"/>
  </si>
  <si>
    <t>全A股，剔除北交所股票，剔除观察日上市不足365天、ST、停牌，剔除观察日下一个交易日涨停</t>
    <phoneticPr fontId="2" type="noConversion"/>
  </si>
  <si>
    <t>测试区间</t>
    <phoneticPr fontId="2" type="noConversion"/>
  </si>
  <si>
    <t>2016.01-2025.12，每月最后一个交易日调仓</t>
    <phoneticPr fontId="2" type="noConversion"/>
  </si>
  <si>
    <t>因子预处理</t>
    <phoneticPr fontId="2" type="noConversion"/>
  </si>
  <si>
    <t>5倍MAD去极值，行业均值填充缺失值，市值行业中性化，缩放到[0,1]</t>
    <phoneticPr fontId="2" type="noConversion"/>
  </si>
  <si>
    <t>标签定义</t>
    <phoneticPr fontId="2" type="noConversion"/>
  </si>
  <si>
    <t>观察日下一个交易日VWAP买入，持有N=20天后VWAP卖出的持仓收益</t>
    <phoneticPr fontId="2" type="noConversion"/>
  </si>
  <si>
    <t>经济学含义是小单买入占比多且当天上涨，对应着当天的收益是“温和”的，市场对收益的反应不足，后续继续上涨；小单买入少且当天上涨，说明收益是被大单扫盘驱动的，已经反应过度，后续下跌</t>
    <phoneticPr fontId="2" type="noConversion"/>
  </si>
  <si>
    <t>其他列的排序效果均不如小单买入占比，后续尝试因子合成后也没有显著增益，不再展示</t>
    <phoneticPr fontId="2" type="noConversion"/>
  </si>
  <si>
    <t>不同聚合方案的效果差别不大，出于简单、效果好、用到数据多的综合考虑，选择top10线性衰减、bottom10线性衰减</t>
    <phoneticPr fontId="2" type="noConversion"/>
  </si>
  <si>
    <t>如果两者先求差后再中性化，多头端能进一步改善，命名为“小单买入占比切割动量”因子</t>
    <phoneticPr fontId="2" type="noConversion"/>
  </si>
  <si>
    <t>相似的思路，按照行业动量排序（这里选申万2021一级行业，不同行业编码大同小异，注意避免行业标签穿越），计算每个序数对应交易日的个股动量与观察日期未来20天收益率的RankIC</t>
    <phoneticPr fontId="2" type="noConversion"/>
  </si>
  <si>
    <t>sum（即传统的20日振幅）</t>
    <phoneticPr fontId="2" type="noConversion"/>
  </si>
  <si>
    <t>该因子比起传统的20日振幅，稳定性和多头端收益明显改善，且对20日振幅求残差后仍有信息增益</t>
    <phoneticPr fontId="2" type="noConversion"/>
  </si>
  <si>
    <r>
      <t>发现</t>
    </r>
    <r>
      <rPr>
        <b/>
        <sz val="11"/>
        <color theme="1"/>
        <rFont val="微软雅黑"/>
        <family val="2"/>
        <charset val="134"/>
      </rPr>
      <t>行业动量的序数对个股动量只有很微弱的区分度，反过来个股动量的序数却对行业动量有较高的区分度</t>
    </r>
    <r>
      <rPr>
        <sz val="11"/>
        <color theme="1"/>
        <rFont val="微软雅黑"/>
        <family val="2"/>
        <charset val="134"/>
      </rPr>
      <t>，即个股涨的日子同时如果行业也涨，那么涨势可能持续；对个股动量成交量加权后排序效果更好</t>
    </r>
    <phoneticPr fontId="2" type="noConversion"/>
  </si>
  <si>
    <t>个股成交量加权的top5行业动量基本上还是动量效应，而bottom15基本上都是反转，尝试多种方案后，top5线性衰减、bottom15线性衰减，两者求差，最后中性化的效果最好，但总体上所有方案差异都不大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</si>
</sst>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.000_ ;_ * \-#,##0.000_ ;_ * &quot;-&quot;??_ ;_ @_ "/>
    <numFmt numFmtId="177" formatCode="0.0%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3" borderId="0" xfId="0" applyFont="1" applyFill="1" applyAlignment="1">
      <alignment horizontal="right" vertical="center" wrapText="1"/>
    </xf>
    <xf numFmtId="43" fontId="3" fillId="3" borderId="0" xfId="1" applyFont="1" applyFill="1" applyAlignment="1">
      <alignment horizontal="right" vertical="center" wrapText="1"/>
    </xf>
    <xf numFmtId="176" fontId="3" fillId="3" borderId="0" xfId="1" applyNumberFormat="1" applyFont="1" applyFill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6" fontId="3" fillId="3" borderId="1" xfId="1" applyNumberFormat="1" applyFont="1" applyFill="1" applyBorder="1" applyAlignment="1">
      <alignment horizontal="right" vertical="center" wrapText="1"/>
    </xf>
    <xf numFmtId="43" fontId="3" fillId="3" borderId="1" xfId="1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top"/>
    </xf>
    <xf numFmtId="0" fontId="4" fillId="4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2" borderId="3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177" fontId="3" fillId="2" borderId="0" xfId="2" applyNumberFormat="1" applyFont="1" applyFill="1">
      <alignment vertical="center"/>
    </xf>
    <xf numFmtId="43" fontId="3" fillId="2" borderId="0" xfId="1" applyFont="1" applyFill="1">
      <alignment vertical="center"/>
    </xf>
    <xf numFmtId="9" fontId="3" fillId="2" borderId="0" xfId="2" applyFont="1" applyFill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177" fontId="3" fillId="2" borderId="5" xfId="2" applyNumberFormat="1" applyFont="1" applyFill="1" applyBorder="1">
      <alignment vertical="center"/>
    </xf>
    <xf numFmtId="43" fontId="3" fillId="2" borderId="5" xfId="1" applyFont="1" applyFill="1" applyBorder="1">
      <alignment vertical="center"/>
    </xf>
    <xf numFmtId="9" fontId="3" fillId="2" borderId="5" xfId="2" applyFont="1" applyFill="1" applyBorder="1">
      <alignment vertical="center"/>
    </xf>
    <xf numFmtId="43" fontId="3" fillId="2" borderId="6" xfId="1" applyFont="1" applyFill="1" applyBorder="1">
      <alignment vertical="center"/>
    </xf>
    <xf numFmtId="177" fontId="3" fillId="2" borderId="0" xfId="2" applyNumberFormat="1" applyFont="1" applyFill="1" applyBorder="1">
      <alignment vertical="center"/>
    </xf>
    <xf numFmtId="43" fontId="3" fillId="2" borderId="0" xfId="1" applyFont="1" applyFill="1" applyBorder="1">
      <alignment vertical="center"/>
    </xf>
    <xf numFmtId="9" fontId="3" fillId="2" borderId="0" xfId="2" applyFont="1" applyFill="1" applyBorder="1">
      <alignment vertical="center"/>
    </xf>
    <xf numFmtId="176" fontId="3" fillId="3" borderId="0" xfId="1" applyNumberFormat="1" applyFont="1" applyFill="1" applyBorder="1" applyAlignment="1">
      <alignment horizontal="right" vertical="center" wrapText="1"/>
    </xf>
    <xf numFmtId="43" fontId="3" fillId="3" borderId="0" xfId="1" applyFont="1" applyFill="1" applyBorder="1" applyAlignment="1">
      <alignment horizontal="right" vertical="center" wrapTex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8" xfId="0" applyFont="1" applyFill="1" applyBorder="1">
      <alignment vertical="center"/>
    </xf>
    <xf numFmtId="43" fontId="3" fillId="3" borderId="2" xfId="1" applyFont="1" applyFill="1" applyBorder="1" applyAlignment="1">
      <alignment horizontal="right" vertical="center" wrapText="1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8AF7-DE1E-4A48-8CE9-6252B0982F9C}">
  <dimension ref="B2:L149"/>
  <sheetViews>
    <sheetView tabSelected="1" zoomScaleNormal="100" workbookViewId="0">
      <selection activeCell="H13" sqref="H13"/>
    </sheetView>
  </sheetViews>
  <sheetFormatPr defaultRowHeight="16.5" x14ac:dyDescent="0.3"/>
  <cols>
    <col min="1" max="1" width="4.6640625" style="1" customWidth="1"/>
    <col min="2" max="2" width="24.08203125" style="1" customWidth="1"/>
    <col min="3" max="4" width="13.25" style="1" customWidth="1"/>
    <col min="5" max="5" width="18.58203125" style="1" customWidth="1"/>
    <col min="6" max="7" width="13.25" style="1" customWidth="1"/>
    <col min="8" max="8" width="14.58203125" style="1" customWidth="1"/>
    <col min="9" max="12" width="13.25" style="1" customWidth="1"/>
    <col min="13" max="16384" width="8.6640625" style="1"/>
  </cols>
  <sheetData>
    <row r="2" spans="2:12" x14ac:dyDescent="0.3">
      <c r="B2" s="2" t="s">
        <v>0</v>
      </c>
    </row>
    <row r="3" spans="2:12" x14ac:dyDescent="0.3">
      <c r="B3" s="1" t="s">
        <v>39</v>
      </c>
    </row>
    <row r="4" spans="2:12" x14ac:dyDescent="0.3"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</row>
    <row r="5" spans="2:12" x14ac:dyDescent="0.3">
      <c r="B5" s="1" t="s">
        <v>25</v>
      </c>
      <c r="C5" s="1" t="s">
        <v>16</v>
      </c>
      <c r="D5" s="1" t="s">
        <v>17</v>
      </c>
      <c r="E5" s="15">
        <v>9.1448000000000002E-2</v>
      </c>
      <c r="F5" s="16">
        <v>3.5915360000000001</v>
      </c>
      <c r="G5" s="17">
        <v>0.85833300000000001</v>
      </c>
      <c r="H5" s="16">
        <v>1</v>
      </c>
      <c r="I5" s="15">
        <v>0.26225700000000002</v>
      </c>
      <c r="J5" s="16">
        <v>2.023183</v>
      </c>
      <c r="K5" s="15">
        <v>7.0556999999999995E-2</v>
      </c>
      <c r="L5" s="16">
        <v>1.641108</v>
      </c>
    </row>
    <row r="6" spans="2:12" x14ac:dyDescent="0.3">
      <c r="B6" s="1" t="s">
        <v>50</v>
      </c>
      <c r="C6" s="1" t="s">
        <v>16</v>
      </c>
      <c r="D6" s="1" t="s">
        <v>17</v>
      </c>
      <c r="E6" s="15">
        <v>4.9051999999999998E-2</v>
      </c>
      <c r="F6" s="16">
        <v>2.7299530000000001</v>
      </c>
      <c r="G6" s="17">
        <v>0.79166700000000001</v>
      </c>
      <c r="H6" s="16">
        <v>0.97575800000000001</v>
      </c>
      <c r="I6" s="15">
        <v>0.17175399999999999</v>
      </c>
      <c r="J6" s="16">
        <v>1.9066000000000001</v>
      </c>
      <c r="K6" s="15">
        <v>6.3476000000000005E-2</v>
      </c>
      <c r="L6" s="16">
        <v>1.3552120000000001</v>
      </c>
    </row>
    <row r="7" spans="2:12" x14ac:dyDescent="0.3">
      <c r="B7" s="14" t="s">
        <v>51</v>
      </c>
      <c r="C7" s="1" t="s">
        <v>16</v>
      </c>
      <c r="D7" s="1" t="s">
        <v>17</v>
      </c>
      <c r="E7" s="15">
        <v>7.1584999999999996E-2</v>
      </c>
      <c r="F7" s="16">
        <v>3.9914480000000001</v>
      </c>
      <c r="G7" s="17">
        <v>0.875</v>
      </c>
      <c r="H7" s="16">
        <v>0.92727300000000001</v>
      </c>
      <c r="I7" s="15">
        <v>0.18953800000000001</v>
      </c>
      <c r="J7" s="16">
        <v>2.066621</v>
      </c>
      <c r="K7" s="15">
        <v>3.2658E-2</v>
      </c>
      <c r="L7" s="16">
        <v>0.75707100000000005</v>
      </c>
    </row>
    <row r="9" spans="2:12" x14ac:dyDescent="0.3">
      <c r="B9" s="1" t="s">
        <v>52</v>
      </c>
    </row>
    <row r="10" spans="2:12" x14ac:dyDescent="0.3">
      <c r="B10" s="13"/>
      <c r="C10" s="34" t="s">
        <v>25</v>
      </c>
      <c r="D10" s="13" t="s">
        <v>50</v>
      </c>
      <c r="E10" s="33" t="s">
        <v>51</v>
      </c>
    </row>
    <row r="11" spans="2:12" x14ac:dyDescent="0.3">
      <c r="B11" s="1" t="s">
        <v>25</v>
      </c>
      <c r="C11" s="35">
        <v>1</v>
      </c>
      <c r="D11" s="28">
        <v>0.160608</v>
      </c>
      <c r="E11" s="28">
        <v>0.55868399999999996</v>
      </c>
    </row>
    <row r="12" spans="2:12" x14ac:dyDescent="0.3">
      <c r="B12" s="1" t="s">
        <v>50</v>
      </c>
      <c r="C12" s="35">
        <v>0.160608</v>
      </c>
      <c r="D12" s="28">
        <v>1</v>
      </c>
      <c r="E12" s="28">
        <v>0.34101500000000001</v>
      </c>
    </row>
    <row r="13" spans="2:12" x14ac:dyDescent="0.3">
      <c r="B13" s="14" t="s">
        <v>51</v>
      </c>
      <c r="C13" s="35">
        <v>0.55868399999999996</v>
      </c>
      <c r="D13" s="28">
        <v>0.34101500000000001</v>
      </c>
      <c r="E13" s="28">
        <v>1</v>
      </c>
    </row>
    <row r="15" spans="2:12" x14ac:dyDescent="0.3">
      <c r="B15" s="2" t="s">
        <v>1</v>
      </c>
    </row>
    <row r="16" spans="2:12" x14ac:dyDescent="0.3">
      <c r="B16" s="2"/>
    </row>
    <row r="17" spans="2:12" x14ac:dyDescent="0.3">
      <c r="B17" s="1" t="s">
        <v>58</v>
      </c>
    </row>
    <row r="18" spans="2:12" x14ac:dyDescent="0.3">
      <c r="B18" s="29" t="s">
        <v>7</v>
      </c>
      <c r="C18" s="30" t="s">
        <v>59</v>
      </c>
      <c r="D18" s="30"/>
      <c r="E18" s="30"/>
      <c r="F18" s="30"/>
      <c r="G18" s="30"/>
      <c r="H18" s="30"/>
      <c r="I18" s="30"/>
      <c r="J18" s="30"/>
      <c r="K18" s="30"/>
      <c r="L18" s="30"/>
    </row>
    <row r="19" spans="2:12" x14ac:dyDescent="0.3">
      <c r="B19" s="29" t="s">
        <v>60</v>
      </c>
      <c r="C19" s="30" t="s">
        <v>61</v>
      </c>
      <c r="D19" s="30"/>
      <c r="E19" s="30"/>
      <c r="F19" s="30"/>
      <c r="G19" s="30"/>
      <c r="H19" s="30"/>
      <c r="I19" s="30"/>
      <c r="J19" s="30"/>
      <c r="K19" s="30"/>
      <c r="L19" s="30"/>
    </row>
    <row r="20" spans="2:12" x14ac:dyDescent="0.3">
      <c r="B20" s="29" t="s">
        <v>62</v>
      </c>
      <c r="C20" s="30" t="s">
        <v>63</v>
      </c>
      <c r="D20" s="30"/>
      <c r="E20" s="30"/>
      <c r="F20" s="30"/>
      <c r="G20" s="30"/>
      <c r="H20" s="30"/>
      <c r="I20" s="30"/>
      <c r="J20" s="30"/>
      <c r="K20" s="30"/>
      <c r="L20" s="30"/>
    </row>
    <row r="21" spans="2:12" x14ac:dyDescent="0.3">
      <c r="B21" s="31" t="s">
        <v>64</v>
      </c>
      <c r="C21" s="32" t="s">
        <v>65</v>
      </c>
      <c r="D21" s="32"/>
      <c r="E21" s="32"/>
      <c r="F21" s="32"/>
      <c r="G21" s="32"/>
      <c r="H21" s="32"/>
      <c r="I21" s="32"/>
      <c r="J21" s="32"/>
      <c r="K21" s="32"/>
      <c r="L21" s="32"/>
    </row>
    <row r="22" spans="2:12" x14ac:dyDescent="0.3">
      <c r="B22" s="2"/>
    </row>
    <row r="23" spans="2:12" x14ac:dyDescent="0.3">
      <c r="B23" s="1" t="s">
        <v>37</v>
      </c>
    </row>
    <row r="24" spans="2:12" x14ac:dyDescent="0.3">
      <c r="B24" s="1" t="s">
        <v>38</v>
      </c>
    </row>
    <row r="25" spans="2:12" x14ac:dyDescent="0.3">
      <c r="B25" s="1" t="s">
        <v>40</v>
      </c>
    </row>
    <row r="26" spans="2:12" x14ac:dyDescent="0.3">
      <c r="B26" s="1" t="s">
        <v>45</v>
      </c>
    </row>
    <row r="27" spans="2:12" x14ac:dyDescent="0.3">
      <c r="B27" s="1" t="s">
        <v>66</v>
      </c>
    </row>
    <row r="28" spans="2:12" x14ac:dyDescent="0.3">
      <c r="B28" s="1" t="s">
        <v>67</v>
      </c>
    </row>
    <row r="29" spans="2:12" ht="33" x14ac:dyDescent="0.3">
      <c r="B29" s="9" t="s">
        <v>47</v>
      </c>
      <c r="C29" s="9" t="s">
        <v>2</v>
      </c>
      <c r="D29" s="9" t="s">
        <v>3</v>
      </c>
    </row>
    <row r="30" spans="2:12" x14ac:dyDescent="0.3">
      <c r="B30" s="3">
        <v>0</v>
      </c>
      <c r="C30" s="5">
        <v>5.2483000000000002E-2</v>
      </c>
      <c r="D30" s="4">
        <v>2.3902869999999998</v>
      </c>
    </row>
    <row r="31" spans="2:12" x14ac:dyDescent="0.3">
      <c r="B31" s="3">
        <v>1</v>
      </c>
      <c r="C31" s="5">
        <v>4.4416999999999998E-2</v>
      </c>
      <c r="D31" s="4">
        <v>2.20174</v>
      </c>
    </row>
    <row r="32" spans="2:12" x14ac:dyDescent="0.3">
      <c r="B32" s="3">
        <v>2</v>
      </c>
      <c r="C32" s="5">
        <v>3.8449999999999998E-2</v>
      </c>
      <c r="D32" s="4">
        <v>2.0479769999999999</v>
      </c>
    </row>
    <row r="33" spans="2:4" x14ac:dyDescent="0.3">
      <c r="B33" s="3">
        <v>3</v>
      </c>
      <c r="C33" s="5">
        <v>3.1168999999999999E-2</v>
      </c>
      <c r="D33" s="4">
        <v>1.779112</v>
      </c>
    </row>
    <row r="34" spans="2:4" x14ac:dyDescent="0.3">
      <c r="B34" s="3">
        <v>4</v>
      </c>
      <c r="C34" s="5">
        <v>2.4205999999999998E-2</v>
      </c>
      <c r="D34" s="4">
        <v>1.5561290000000001</v>
      </c>
    </row>
    <row r="35" spans="2:4" x14ac:dyDescent="0.3">
      <c r="B35" s="3">
        <v>5</v>
      </c>
      <c r="C35" s="5">
        <v>2.1531999999999999E-2</v>
      </c>
      <c r="D35" s="4">
        <v>1.505698</v>
      </c>
    </row>
    <row r="36" spans="2:4" x14ac:dyDescent="0.3">
      <c r="B36" s="3">
        <v>6</v>
      </c>
      <c r="C36" s="5">
        <v>1.3923E-2</v>
      </c>
      <c r="D36" s="4">
        <v>1.038729</v>
      </c>
    </row>
    <row r="37" spans="2:4" x14ac:dyDescent="0.3">
      <c r="B37" s="3">
        <v>7</v>
      </c>
      <c r="C37" s="5">
        <v>8.6169999999999997E-3</v>
      </c>
      <c r="D37" s="4">
        <v>0.70818599999999998</v>
      </c>
    </row>
    <row r="38" spans="2:4" x14ac:dyDescent="0.3">
      <c r="B38" s="3">
        <v>8</v>
      </c>
      <c r="C38" s="5">
        <v>4.2690000000000002E-3</v>
      </c>
      <c r="D38" s="4">
        <v>0.37797799999999998</v>
      </c>
    </row>
    <row r="39" spans="2:4" x14ac:dyDescent="0.3">
      <c r="B39" s="3">
        <v>9</v>
      </c>
      <c r="C39" s="5">
        <v>-1.983E-3</v>
      </c>
      <c r="D39" s="4">
        <v>-0.18662999999999999</v>
      </c>
    </row>
    <row r="40" spans="2:4" x14ac:dyDescent="0.3">
      <c r="B40" s="3">
        <v>10</v>
      </c>
      <c r="C40" s="5">
        <v>-9.9209999999999993E-3</v>
      </c>
      <c r="D40" s="4">
        <v>-0.921678</v>
      </c>
    </row>
    <row r="41" spans="2:4" x14ac:dyDescent="0.3">
      <c r="B41" s="3">
        <v>11</v>
      </c>
      <c r="C41" s="5">
        <v>-1.3317000000000001E-2</v>
      </c>
      <c r="D41" s="4">
        <v>-1.2842720000000001</v>
      </c>
    </row>
    <row r="42" spans="2:4" x14ac:dyDescent="0.3">
      <c r="B42" s="3">
        <v>12</v>
      </c>
      <c r="C42" s="5">
        <v>-2.4521000000000001E-2</v>
      </c>
      <c r="D42" s="4">
        <v>-2.1610429999999998</v>
      </c>
    </row>
    <row r="43" spans="2:4" x14ac:dyDescent="0.3">
      <c r="B43" s="3">
        <v>13</v>
      </c>
      <c r="C43" s="5">
        <v>-2.7095999999999999E-2</v>
      </c>
      <c r="D43" s="4">
        <v>-2.0494829999999999</v>
      </c>
    </row>
    <row r="44" spans="2:4" x14ac:dyDescent="0.3">
      <c r="B44" s="3">
        <v>14</v>
      </c>
      <c r="C44" s="5">
        <v>-3.4403999999999997E-2</v>
      </c>
      <c r="D44" s="4">
        <v>-2.4244979999999998</v>
      </c>
    </row>
    <row r="45" spans="2:4" x14ac:dyDescent="0.3">
      <c r="B45" s="3">
        <v>15</v>
      </c>
      <c r="C45" s="5">
        <v>-4.3423999999999997E-2</v>
      </c>
      <c r="D45" s="4">
        <v>-2.8741249999999998</v>
      </c>
    </row>
    <row r="46" spans="2:4" x14ac:dyDescent="0.3">
      <c r="B46" s="3">
        <v>16</v>
      </c>
      <c r="C46" s="5">
        <v>-5.3920000000000003E-2</v>
      </c>
      <c r="D46" s="4">
        <v>-3.0387119999999999</v>
      </c>
    </row>
    <row r="47" spans="2:4" x14ac:dyDescent="0.3">
      <c r="B47" s="3">
        <v>17</v>
      </c>
      <c r="C47" s="5">
        <v>-5.5842999999999997E-2</v>
      </c>
      <c r="D47" s="4">
        <v>-2.9575670000000001</v>
      </c>
    </row>
    <row r="48" spans="2:4" x14ac:dyDescent="0.3">
      <c r="B48" s="3">
        <v>18</v>
      </c>
      <c r="C48" s="5">
        <v>-6.404E-2</v>
      </c>
      <c r="D48" s="4">
        <v>-2.9655830000000001</v>
      </c>
    </row>
    <row r="49" spans="2:12" x14ac:dyDescent="0.3">
      <c r="B49" s="3">
        <v>19</v>
      </c>
      <c r="C49" s="5">
        <v>-7.3736999999999997E-2</v>
      </c>
      <c r="D49" s="4">
        <v>-2.8709850000000001</v>
      </c>
    </row>
    <row r="50" spans="2:12" s="10" customFormat="1" ht="33" x14ac:dyDescent="0.3">
      <c r="B50" s="6" t="s">
        <v>4</v>
      </c>
      <c r="C50" s="7">
        <v>-6.0231E-2</v>
      </c>
      <c r="D50" s="8">
        <v>-1.5397879999999999</v>
      </c>
    </row>
    <row r="52" spans="2:12" x14ac:dyDescent="0.3">
      <c r="B52" s="1" t="s">
        <v>46</v>
      </c>
    </row>
    <row r="53" spans="2:12" x14ac:dyDescent="0.3">
      <c r="B53" s="1" t="s">
        <v>68</v>
      </c>
    </row>
    <row r="54" spans="2:12" x14ac:dyDescent="0.3">
      <c r="B54" s="13" t="s">
        <v>5</v>
      </c>
      <c r="C54" s="13" t="s">
        <v>6</v>
      </c>
      <c r="D54" s="13" t="s">
        <v>7</v>
      </c>
      <c r="E54" s="13" t="s">
        <v>8</v>
      </c>
      <c r="F54" s="13" t="s">
        <v>9</v>
      </c>
      <c r="G54" s="13" t="s">
        <v>10</v>
      </c>
      <c r="H54" s="13" t="s">
        <v>11</v>
      </c>
      <c r="I54" s="13" t="s">
        <v>12</v>
      </c>
      <c r="J54" s="13" t="s">
        <v>13</v>
      </c>
      <c r="K54" s="13" t="s">
        <v>14</v>
      </c>
      <c r="L54" s="13" t="s">
        <v>15</v>
      </c>
    </row>
    <row r="55" spans="2:12" x14ac:dyDescent="0.3">
      <c r="B55" s="1" t="s">
        <v>20</v>
      </c>
      <c r="C55" s="1" t="s">
        <v>16</v>
      </c>
      <c r="D55" s="1" t="s">
        <v>17</v>
      </c>
      <c r="E55" s="15">
        <v>5.9554227497989998E-2</v>
      </c>
      <c r="F55" s="16">
        <v>2.5009652491868799</v>
      </c>
      <c r="G55" s="17">
        <v>0.78333333333333299</v>
      </c>
      <c r="H55" s="16">
        <v>0.98787878787878702</v>
      </c>
      <c r="I55" s="15">
        <v>0.151312806849241</v>
      </c>
      <c r="J55" s="16">
        <v>1.1938203213476799</v>
      </c>
      <c r="K55" s="15">
        <v>4.9291817949880898E-2</v>
      </c>
      <c r="L55" s="16">
        <v>1.1715254460004401</v>
      </c>
    </row>
    <row r="56" spans="2:12" x14ac:dyDescent="0.3">
      <c r="B56" s="1" t="s">
        <v>21</v>
      </c>
      <c r="C56" s="1" t="s">
        <v>16</v>
      </c>
      <c r="D56" s="1" t="s">
        <v>17</v>
      </c>
      <c r="E56" s="15">
        <v>6.1198456310488397E-2</v>
      </c>
      <c r="F56" s="16">
        <v>2.64213904542081</v>
      </c>
      <c r="G56" s="17">
        <v>0.79166666666666596</v>
      </c>
      <c r="H56" s="16">
        <v>0.98787878787878702</v>
      </c>
      <c r="I56" s="15">
        <v>0.15332262999420501</v>
      </c>
      <c r="J56" s="16">
        <v>1.2556385966456101</v>
      </c>
      <c r="K56" s="15">
        <v>4.37612136454971E-2</v>
      </c>
      <c r="L56" s="16">
        <v>1.1053672184965699</v>
      </c>
    </row>
    <row r="57" spans="2:12" x14ac:dyDescent="0.3">
      <c r="B57" s="14" t="s">
        <v>22</v>
      </c>
      <c r="C57" s="1" t="s">
        <v>16</v>
      </c>
      <c r="D57" s="1" t="s">
        <v>17</v>
      </c>
      <c r="E57" s="15">
        <v>6.1273911525830102E-2</v>
      </c>
      <c r="F57" s="16">
        <v>2.5759411486274999</v>
      </c>
      <c r="G57" s="17">
        <v>0.79166666666666596</v>
      </c>
      <c r="H57" s="16">
        <v>0.96363636363636296</v>
      </c>
      <c r="I57" s="15">
        <v>0.15556555097935801</v>
      </c>
      <c r="J57" s="16">
        <v>1.2604541246586201</v>
      </c>
      <c r="K57" s="15">
        <v>4.70886970294895E-2</v>
      </c>
      <c r="L57" s="16">
        <v>1.1518440170925299</v>
      </c>
    </row>
    <row r="58" spans="2:12" ht="17" thickBot="1" x14ac:dyDescent="0.35">
      <c r="B58" s="1" t="s">
        <v>23</v>
      </c>
      <c r="C58" s="1" t="s">
        <v>16</v>
      </c>
      <c r="D58" s="1" t="s">
        <v>17</v>
      </c>
      <c r="E58" s="24">
        <v>5.7330275414498602E-2</v>
      </c>
      <c r="F58" s="25">
        <v>2.1853997565789798</v>
      </c>
      <c r="G58" s="26">
        <v>0.75</v>
      </c>
      <c r="H58" s="25">
        <v>0.96363636363636296</v>
      </c>
      <c r="I58" s="24">
        <v>0.13538170877339201</v>
      </c>
      <c r="J58" s="25">
        <v>0.96523109148751396</v>
      </c>
      <c r="K58" s="24">
        <v>3.8687297034148402E-2</v>
      </c>
      <c r="L58" s="25">
        <v>0.80557588189991602</v>
      </c>
    </row>
    <row r="59" spans="2:12" ht="17" thickBot="1" x14ac:dyDescent="0.35">
      <c r="B59" s="18" t="s">
        <v>18</v>
      </c>
      <c r="C59" s="19" t="s">
        <v>16</v>
      </c>
      <c r="D59" s="19" t="s">
        <v>17</v>
      </c>
      <c r="E59" s="20">
        <v>6.4132318847008707E-2</v>
      </c>
      <c r="F59" s="21">
        <v>2.4593079761565302</v>
      </c>
      <c r="G59" s="22">
        <v>0.79166666666666596</v>
      </c>
      <c r="H59" s="21">
        <v>0.999999999999999</v>
      </c>
      <c r="I59" s="20">
        <v>0.16357685574960101</v>
      </c>
      <c r="J59" s="21">
        <v>1.1719113095290301</v>
      </c>
      <c r="K59" s="20">
        <v>4.7813268299601398E-2</v>
      </c>
      <c r="L59" s="23">
        <v>1.0131392505904699</v>
      </c>
    </row>
    <row r="60" spans="2:12" x14ac:dyDescent="0.3">
      <c r="B60" s="14" t="s">
        <v>24</v>
      </c>
      <c r="C60" s="1" t="s">
        <v>16</v>
      </c>
      <c r="D60" s="1" t="s">
        <v>17</v>
      </c>
      <c r="E60" s="15">
        <v>6.1980857834472998E-2</v>
      </c>
      <c r="F60" s="16">
        <v>2.3257163665626299</v>
      </c>
      <c r="G60" s="17">
        <v>0.79166666666666596</v>
      </c>
      <c r="H60" s="16">
        <v>0.98787878787878702</v>
      </c>
      <c r="I60" s="15">
        <v>0.14738000714983501</v>
      </c>
      <c r="J60" s="16">
        <v>1.05509746406821</v>
      </c>
      <c r="K60" s="15">
        <v>4.4931679233198497E-2</v>
      </c>
      <c r="L60" s="16">
        <v>0.96584749392321101</v>
      </c>
    </row>
    <row r="61" spans="2:12" x14ac:dyDescent="0.3">
      <c r="B61" s="14"/>
      <c r="E61" s="15"/>
      <c r="F61" s="16"/>
      <c r="G61" s="17"/>
      <c r="H61" s="16"/>
      <c r="I61" s="15"/>
      <c r="J61" s="16"/>
      <c r="K61" s="15"/>
      <c r="L61" s="16"/>
    </row>
    <row r="62" spans="2:12" x14ac:dyDescent="0.3">
      <c r="B62" s="13" t="s">
        <v>5</v>
      </c>
      <c r="C62" s="13" t="s">
        <v>6</v>
      </c>
      <c r="D62" s="13" t="s">
        <v>7</v>
      </c>
      <c r="E62" s="13" t="s">
        <v>8</v>
      </c>
      <c r="F62" s="13" t="s">
        <v>9</v>
      </c>
      <c r="G62" s="13" t="s">
        <v>10</v>
      </c>
      <c r="H62" s="13" t="s">
        <v>11</v>
      </c>
      <c r="I62" s="13" t="s">
        <v>12</v>
      </c>
      <c r="J62" s="13" t="s">
        <v>13</v>
      </c>
      <c r="K62" s="13" t="s">
        <v>14</v>
      </c>
      <c r="L62" s="13" t="s">
        <v>15</v>
      </c>
    </row>
    <row r="63" spans="2:12" x14ac:dyDescent="0.3">
      <c r="B63" s="1" t="s">
        <v>32</v>
      </c>
      <c r="C63" s="1" t="s">
        <v>16</v>
      </c>
      <c r="D63" s="1" t="s">
        <v>17</v>
      </c>
      <c r="E63" s="15">
        <v>-8.5105761806788E-2</v>
      </c>
      <c r="F63" s="16">
        <v>-3.9355103717001998</v>
      </c>
      <c r="G63" s="17">
        <v>0.9</v>
      </c>
      <c r="H63" s="16">
        <v>0.96363636363636296</v>
      </c>
      <c r="I63" s="15">
        <v>0.25222292597692803</v>
      </c>
      <c r="J63" s="16">
        <v>2.1896337929473901</v>
      </c>
      <c r="K63" s="15">
        <v>5.4759117103402498E-2</v>
      </c>
      <c r="L63" s="16">
        <v>1.38802128118094</v>
      </c>
    </row>
    <row r="64" spans="2:12" x14ac:dyDescent="0.3">
      <c r="B64" s="1" t="s">
        <v>33</v>
      </c>
      <c r="C64" s="1" t="s">
        <v>16</v>
      </c>
      <c r="D64" s="1" t="s">
        <v>17</v>
      </c>
      <c r="E64" s="15">
        <v>-8.2780917504996804E-2</v>
      </c>
      <c r="F64" s="16">
        <v>-3.8542131918392299</v>
      </c>
      <c r="G64" s="17">
        <v>0.86666666666666603</v>
      </c>
      <c r="H64" s="16">
        <v>0.89090909090908998</v>
      </c>
      <c r="I64" s="15">
        <v>0.23668129805593799</v>
      </c>
      <c r="J64" s="16">
        <v>2.0790994076690299</v>
      </c>
      <c r="K64" s="15">
        <v>4.8563025293307097E-2</v>
      </c>
      <c r="L64" s="16">
        <v>1.2319049359749199</v>
      </c>
    </row>
    <row r="65" spans="2:12" x14ac:dyDescent="0.3">
      <c r="B65" s="14" t="s">
        <v>34</v>
      </c>
      <c r="C65" s="1" t="s">
        <v>16</v>
      </c>
      <c r="D65" s="1" t="s">
        <v>17</v>
      </c>
      <c r="E65" s="15">
        <v>-8.4672920707231605E-2</v>
      </c>
      <c r="F65" s="16">
        <v>-3.8919453497690899</v>
      </c>
      <c r="G65" s="17">
        <v>0.89166666666666605</v>
      </c>
      <c r="H65" s="16">
        <v>0.89090909090908998</v>
      </c>
      <c r="I65" s="15">
        <v>0.248705880816811</v>
      </c>
      <c r="J65" s="16">
        <v>2.1517195379643499</v>
      </c>
      <c r="K65" s="15">
        <v>5.52343587715362E-2</v>
      </c>
      <c r="L65" s="16">
        <v>1.37213684403881</v>
      </c>
    </row>
    <row r="66" spans="2:12" ht="17" thickBot="1" x14ac:dyDescent="0.35">
      <c r="B66" s="1" t="s">
        <v>35</v>
      </c>
      <c r="C66" s="1" t="s">
        <v>16</v>
      </c>
      <c r="D66" s="1" t="s">
        <v>17</v>
      </c>
      <c r="E66" s="24">
        <v>-8.6428689601008593E-2</v>
      </c>
      <c r="F66" s="25">
        <v>-3.7756099528438698</v>
      </c>
      <c r="G66" s="26">
        <v>0.9</v>
      </c>
      <c r="H66" s="25">
        <v>0.95151515151515098</v>
      </c>
      <c r="I66" s="24">
        <v>0.25926772777396501</v>
      </c>
      <c r="J66" s="25">
        <v>2.1587494737931201</v>
      </c>
      <c r="K66" s="24">
        <v>5.8824681711827302E-2</v>
      </c>
      <c r="L66" s="25">
        <v>1.4179070147597499</v>
      </c>
    </row>
    <row r="67" spans="2:12" ht="17" thickBot="1" x14ac:dyDescent="0.35">
      <c r="B67" s="18" t="s">
        <v>19</v>
      </c>
      <c r="C67" s="19" t="s">
        <v>16</v>
      </c>
      <c r="D67" s="19" t="s">
        <v>17</v>
      </c>
      <c r="E67" s="20">
        <v>-8.8841988715706893E-2</v>
      </c>
      <c r="F67" s="21">
        <v>-3.8619249992574298</v>
      </c>
      <c r="G67" s="22">
        <v>0.9</v>
      </c>
      <c r="H67" s="21">
        <v>0.96363636363636296</v>
      </c>
      <c r="I67" s="20">
        <v>0.260967048149223</v>
      </c>
      <c r="J67" s="21">
        <v>2.13636080063982</v>
      </c>
      <c r="K67" s="20">
        <v>5.9001570667132998E-2</v>
      </c>
      <c r="L67" s="23">
        <v>1.39422234048871</v>
      </c>
    </row>
    <row r="68" spans="2:12" x14ac:dyDescent="0.3">
      <c r="B68" s="14" t="s">
        <v>36</v>
      </c>
      <c r="C68" s="1" t="s">
        <v>16</v>
      </c>
      <c r="D68" s="1" t="s">
        <v>17</v>
      </c>
      <c r="E68" s="15">
        <v>-8.89963913525776E-2</v>
      </c>
      <c r="F68" s="16">
        <v>-3.8307097066425899</v>
      </c>
      <c r="G68" s="17">
        <v>0.9</v>
      </c>
      <c r="H68" s="16">
        <v>0.95151515151515098</v>
      </c>
      <c r="I68" s="15">
        <v>0.26511198255219498</v>
      </c>
      <c r="J68" s="16">
        <v>2.15536168803553</v>
      </c>
      <c r="K68" s="15">
        <v>5.8512891343968899E-2</v>
      </c>
      <c r="L68" s="16">
        <v>1.4065772254857001</v>
      </c>
    </row>
    <row r="70" spans="2:12" x14ac:dyDescent="0.3">
      <c r="B70" s="1" t="s">
        <v>69</v>
      </c>
    </row>
    <row r="71" spans="2:12" x14ac:dyDescent="0.3">
      <c r="B71" s="13" t="s">
        <v>5</v>
      </c>
      <c r="C71" s="13" t="s">
        <v>6</v>
      </c>
      <c r="D71" s="13" t="s">
        <v>7</v>
      </c>
      <c r="E71" s="13" t="s">
        <v>8</v>
      </c>
      <c r="F71" s="13" t="s">
        <v>9</v>
      </c>
      <c r="G71" s="13" t="s">
        <v>10</v>
      </c>
      <c r="H71" s="13" t="s">
        <v>11</v>
      </c>
      <c r="I71" s="13" t="s">
        <v>12</v>
      </c>
      <c r="J71" s="13" t="s">
        <v>13</v>
      </c>
      <c r="K71" s="13" t="s">
        <v>14</v>
      </c>
      <c r="L71" s="13" t="s">
        <v>15</v>
      </c>
    </row>
    <row r="72" spans="2:12" x14ac:dyDescent="0.3">
      <c r="B72" s="1" t="s">
        <v>28</v>
      </c>
      <c r="C72" s="1" t="s">
        <v>16</v>
      </c>
      <c r="D72" s="1" t="s">
        <v>17</v>
      </c>
      <c r="E72" s="15">
        <v>6.4132318847008707E-2</v>
      </c>
      <c r="F72" s="16">
        <v>2.4593079761565302</v>
      </c>
      <c r="G72" s="17">
        <v>0.79166666666666596</v>
      </c>
      <c r="H72" s="16">
        <v>0.999999999999999</v>
      </c>
      <c r="I72" s="15">
        <v>0.16357685574960101</v>
      </c>
      <c r="J72" s="16">
        <v>1.1719113095290301</v>
      </c>
      <c r="K72" s="15">
        <v>4.7813268299601398E-2</v>
      </c>
      <c r="L72" s="16">
        <v>1.0131392505904699</v>
      </c>
    </row>
    <row r="73" spans="2:12" x14ac:dyDescent="0.3">
      <c r="B73" s="1" t="s">
        <v>29</v>
      </c>
      <c r="C73" s="1" t="s">
        <v>16</v>
      </c>
      <c r="D73" s="1" t="s">
        <v>17</v>
      </c>
      <c r="E73" s="15">
        <v>-8.8841988715706893E-2</v>
      </c>
      <c r="F73" s="16">
        <v>-3.8619249992574298</v>
      </c>
      <c r="G73" s="17">
        <v>0.9</v>
      </c>
      <c r="H73" s="16">
        <v>0.96363636363636296</v>
      </c>
      <c r="I73" s="15">
        <v>0.260967048149223</v>
      </c>
      <c r="J73" s="16">
        <v>2.13636080063982</v>
      </c>
      <c r="K73" s="15">
        <v>5.9001570667132998E-2</v>
      </c>
      <c r="L73" s="16">
        <v>1.39422234048871</v>
      </c>
    </row>
    <row r="74" spans="2:12" x14ac:dyDescent="0.3">
      <c r="B74" s="1" t="s">
        <v>25</v>
      </c>
      <c r="C74" s="1" t="s">
        <v>16</v>
      </c>
      <c r="D74" s="1" t="s">
        <v>17</v>
      </c>
      <c r="E74" s="15">
        <v>9.1448000000000002E-2</v>
      </c>
      <c r="F74" s="16">
        <v>3.5915360000000001</v>
      </c>
      <c r="G74" s="17">
        <v>0.85833300000000001</v>
      </c>
      <c r="H74" s="16">
        <v>1</v>
      </c>
      <c r="I74" s="15">
        <v>0.26225700000000002</v>
      </c>
      <c r="J74" s="16">
        <v>2.023183</v>
      </c>
      <c r="K74" s="15">
        <v>7.0556999999999995E-2</v>
      </c>
      <c r="L74" s="16">
        <v>1.641108</v>
      </c>
    </row>
    <row r="76" spans="2:12" x14ac:dyDescent="0.3">
      <c r="B76" s="1" t="s">
        <v>30</v>
      </c>
    </row>
    <row r="77" spans="2:12" x14ac:dyDescent="0.3">
      <c r="B77" s="13" t="s">
        <v>5</v>
      </c>
      <c r="C77" s="13" t="s">
        <v>6</v>
      </c>
      <c r="D77" s="13" t="s">
        <v>7</v>
      </c>
      <c r="E77" s="13" t="s">
        <v>8</v>
      </c>
      <c r="F77" s="13" t="s">
        <v>9</v>
      </c>
      <c r="G77" s="13" t="s">
        <v>10</v>
      </c>
      <c r="H77" s="13" t="s">
        <v>11</v>
      </c>
      <c r="I77" s="13" t="s">
        <v>12</v>
      </c>
      <c r="J77" s="13" t="s">
        <v>13</v>
      </c>
      <c r="K77" s="13" t="s">
        <v>14</v>
      </c>
      <c r="L77" s="13" t="s">
        <v>15</v>
      </c>
    </row>
    <row r="78" spans="2:12" x14ac:dyDescent="0.3">
      <c r="B78" s="1" t="s">
        <v>25</v>
      </c>
      <c r="C78" s="1" t="s">
        <v>16</v>
      </c>
      <c r="D78" s="1" t="s">
        <v>17</v>
      </c>
      <c r="E78" s="15">
        <v>9.1448000000000002E-2</v>
      </c>
      <c r="F78" s="16">
        <v>3.5915360000000001</v>
      </c>
      <c r="G78" s="17">
        <v>0.85833300000000001</v>
      </c>
      <c r="H78" s="16">
        <v>1</v>
      </c>
      <c r="I78" s="15">
        <v>0.26225700000000002</v>
      </c>
      <c r="J78" s="16">
        <v>2.023183</v>
      </c>
      <c r="K78" s="15">
        <v>7.0556999999999995E-2</v>
      </c>
      <c r="L78" s="16">
        <v>1.641108</v>
      </c>
    </row>
    <row r="79" spans="2:12" x14ac:dyDescent="0.3">
      <c r="B79" s="1" t="s">
        <v>26</v>
      </c>
      <c r="C79" s="1" t="s">
        <v>16</v>
      </c>
      <c r="D79" s="1" t="s">
        <v>17</v>
      </c>
      <c r="E79" s="15">
        <v>-5.1304000000000002E-2</v>
      </c>
      <c r="F79" s="16">
        <v>-1.8692679999999999</v>
      </c>
      <c r="G79" s="17">
        <v>0.75</v>
      </c>
      <c r="H79" s="16">
        <v>0.70909100000000003</v>
      </c>
      <c r="I79" s="15">
        <v>0.16669100000000001</v>
      </c>
      <c r="J79" s="16">
        <v>1.1360889999999999</v>
      </c>
      <c r="K79" s="15">
        <v>1.364E-3</v>
      </c>
      <c r="L79" s="16">
        <v>1.8834E-2</v>
      </c>
    </row>
    <row r="80" spans="2:12" x14ac:dyDescent="0.3">
      <c r="B80" s="1" t="s">
        <v>27</v>
      </c>
      <c r="C80" s="1" t="s">
        <v>16</v>
      </c>
      <c r="D80" s="1" t="s">
        <v>17</v>
      </c>
      <c r="E80" s="15">
        <v>8.5753999999999997E-2</v>
      </c>
      <c r="F80" s="16">
        <v>3.4379019999999998</v>
      </c>
      <c r="G80" s="17">
        <v>0.875</v>
      </c>
      <c r="H80" s="16">
        <v>1</v>
      </c>
      <c r="I80" s="15">
        <v>0.24674499999999999</v>
      </c>
      <c r="J80" s="16">
        <v>1.9067210000000001</v>
      </c>
      <c r="K80" s="15">
        <v>6.8556000000000006E-2</v>
      </c>
      <c r="L80" s="16">
        <v>1.542613</v>
      </c>
    </row>
    <row r="82" spans="2:10" x14ac:dyDescent="0.3">
      <c r="B82" s="1" t="s">
        <v>48</v>
      </c>
    </row>
    <row r="83" spans="2:10" ht="17" customHeight="1" x14ac:dyDescent="0.3">
      <c r="B83" s="1" t="s">
        <v>70</v>
      </c>
    </row>
    <row r="84" spans="2:10" ht="17" customHeight="1" x14ac:dyDescent="0.3">
      <c r="B84" s="1" t="s">
        <v>73</v>
      </c>
    </row>
    <row r="85" spans="2:10" ht="49.5" x14ac:dyDescent="0.3">
      <c r="B85" s="9" t="s">
        <v>41</v>
      </c>
      <c r="C85" s="9" t="s">
        <v>2</v>
      </c>
      <c r="D85" s="9" t="s">
        <v>3</v>
      </c>
      <c r="E85" s="11" t="s">
        <v>42</v>
      </c>
      <c r="F85" s="9" t="s">
        <v>2</v>
      </c>
      <c r="G85" s="9" t="s">
        <v>3</v>
      </c>
      <c r="H85" s="11" t="s">
        <v>43</v>
      </c>
      <c r="I85" s="9" t="s">
        <v>2</v>
      </c>
      <c r="J85" s="9" t="s">
        <v>3</v>
      </c>
    </row>
    <row r="86" spans="2:10" x14ac:dyDescent="0.3">
      <c r="B86" s="3">
        <v>0</v>
      </c>
      <c r="C86" s="5">
        <v>-2.1788999999999999E-2</v>
      </c>
      <c r="D86" s="4">
        <v>-0.77222299999999999</v>
      </c>
      <c r="E86" s="12">
        <v>0</v>
      </c>
      <c r="F86" s="5">
        <v>2.6294999999999999E-2</v>
      </c>
      <c r="G86" s="4">
        <v>1.2969809999999999</v>
      </c>
      <c r="H86" s="12">
        <v>0</v>
      </c>
      <c r="I86" s="27">
        <v>2.5828E-2</v>
      </c>
      <c r="J86" s="28">
        <v>1.3869089999999999</v>
      </c>
    </row>
    <row r="87" spans="2:10" x14ac:dyDescent="0.3">
      <c r="B87" s="3">
        <v>1</v>
      </c>
      <c r="C87" s="5">
        <v>-1.9449999999999999E-2</v>
      </c>
      <c r="D87" s="4">
        <v>-0.84704500000000005</v>
      </c>
      <c r="E87" s="12">
        <v>1</v>
      </c>
      <c r="F87" s="5">
        <v>1.7042000000000002E-2</v>
      </c>
      <c r="G87" s="4">
        <v>1.014929</v>
      </c>
      <c r="H87" s="12">
        <v>1</v>
      </c>
      <c r="I87" s="27">
        <v>2.0875999999999999E-2</v>
      </c>
      <c r="J87" s="28">
        <v>1.2902229999999999</v>
      </c>
    </row>
    <row r="88" spans="2:10" x14ac:dyDescent="0.3">
      <c r="B88" s="3">
        <v>2</v>
      </c>
      <c r="C88" s="5">
        <v>-1.8928E-2</v>
      </c>
      <c r="D88" s="4">
        <v>-0.94458299999999995</v>
      </c>
      <c r="E88" s="12">
        <v>2</v>
      </c>
      <c r="F88" s="5">
        <v>8.8950000000000001E-3</v>
      </c>
      <c r="G88" s="4">
        <v>0.57311199999999995</v>
      </c>
      <c r="H88" s="12">
        <v>2</v>
      </c>
      <c r="I88" s="27">
        <v>9.306E-3</v>
      </c>
      <c r="J88" s="28">
        <v>0.64954699999999999</v>
      </c>
    </row>
    <row r="89" spans="2:10" x14ac:dyDescent="0.3">
      <c r="B89" s="3">
        <v>3</v>
      </c>
      <c r="C89" s="5">
        <v>-1.5372E-2</v>
      </c>
      <c r="D89" s="4">
        <v>-0.80367100000000002</v>
      </c>
      <c r="E89" s="12">
        <v>3</v>
      </c>
      <c r="F89" s="5">
        <v>-1.3799999999999999E-4</v>
      </c>
      <c r="G89" s="4">
        <v>-9.3749999999999997E-3</v>
      </c>
      <c r="H89" s="12">
        <v>3</v>
      </c>
      <c r="I89" s="27">
        <v>1.8990000000000001E-3</v>
      </c>
      <c r="J89" s="28">
        <v>0.12978100000000001</v>
      </c>
    </row>
    <row r="90" spans="2:10" x14ac:dyDescent="0.3">
      <c r="B90" s="3">
        <v>4</v>
      </c>
      <c r="C90" s="5">
        <v>-2.0961E-2</v>
      </c>
      <c r="D90" s="4">
        <v>-1.224583</v>
      </c>
      <c r="E90" s="12">
        <v>4</v>
      </c>
      <c r="F90" s="5">
        <v>-3.0990000000000002E-3</v>
      </c>
      <c r="G90" s="4">
        <v>-0.21414900000000001</v>
      </c>
      <c r="H90" s="12">
        <v>4</v>
      </c>
      <c r="I90" s="27">
        <v>-4.8700000000000002E-4</v>
      </c>
      <c r="J90" s="28">
        <v>-3.5519000000000002E-2</v>
      </c>
    </row>
    <row r="91" spans="2:10" x14ac:dyDescent="0.3">
      <c r="B91" s="3">
        <v>5</v>
      </c>
      <c r="C91" s="5">
        <v>-1.5459000000000001E-2</v>
      </c>
      <c r="D91" s="4">
        <v>-0.87596600000000002</v>
      </c>
      <c r="E91" s="12">
        <v>5</v>
      </c>
      <c r="F91" s="5">
        <v>-6.2379999999999996E-3</v>
      </c>
      <c r="G91" s="4">
        <v>-0.46668399999999999</v>
      </c>
      <c r="H91" s="12">
        <v>5</v>
      </c>
      <c r="I91" s="27">
        <v>-8.6370000000000006E-3</v>
      </c>
      <c r="J91" s="28">
        <v>-0.59280200000000005</v>
      </c>
    </row>
    <row r="92" spans="2:10" x14ac:dyDescent="0.3">
      <c r="B92" s="3">
        <v>6</v>
      </c>
      <c r="C92" s="5">
        <v>-1.7312000000000001E-2</v>
      </c>
      <c r="D92" s="4">
        <v>-1.0181469999999999</v>
      </c>
      <c r="E92" s="12">
        <v>6</v>
      </c>
      <c r="F92" s="5">
        <v>-1.3488E-2</v>
      </c>
      <c r="G92" s="4">
        <v>-1.0306409999999999</v>
      </c>
      <c r="H92" s="12">
        <v>6</v>
      </c>
      <c r="I92" s="27">
        <v>-1.0799E-2</v>
      </c>
      <c r="J92" s="28">
        <v>-0.77664200000000005</v>
      </c>
    </row>
    <row r="93" spans="2:10" x14ac:dyDescent="0.3">
      <c r="B93" s="3">
        <v>7</v>
      </c>
      <c r="C93" s="5">
        <v>-1.2045E-2</v>
      </c>
      <c r="D93" s="4">
        <v>-0.79845999999999995</v>
      </c>
      <c r="E93" s="12">
        <v>7</v>
      </c>
      <c r="F93" s="5">
        <v>-1.4564000000000001E-2</v>
      </c>
      <c r="G93" s="4">
        <v>-1.0891709999999999</v>
      </c>
      <c r="H93" s="12">
        <v>7</v>
      </c>
      <c r="I93" s="27">
        <v>-1.4999E-2</v>
      </c>
      <c r="J93" s="28">
        <v>-1.049976</v>
      </c>
    </row>
    <row r="94" spans="2:10" x14ac:dyDescent="0.3">
      <c r="B94" s="3">
        <v>8</v>
      </c>
      <c r="C94" s="5">
        <v>-9.3749999999999997E-3</v>
      </c>
      <c r="D94" s="4">
        <v>-0.62173599999999996</v>
      </c>
      <c r="E94" s="12">
        <v>8</v>
      </c>
      <c r="F94" s="5">
        <v>-1.4744E-2</v>
      </c>
      <c r="G94" s="4">
        <v>-1.23231</v>
      </c>
      <c r="H94" s="12">
        <v>8</v>
      </c>
      <c r="I94" s="27">
        <v>-1.8277000000000002E-2</v>
      </c>
      <c r="J94" s="28">
        <v>-1.3318019999999999</v>
      </c>
    </row>
    <row r="95" spans="2:10" x14ac:dyDescent="0.3">
      <c r="B95" s="3">
        <v>9</v>
      </c>
      <c r="C95" s="5">
        <v>-2.5040000000000001E-3</v>
      </c>
      <c r="D95" s="4">
        <v>-0.15957199999999999</v>
      </c>
      <c r="E95" s="12">
        <v>9</v>
      </c>
      <c r="F95" s="5">
        <v>-1.1269E-2</v>
      </c>
      <c r="G95" s="4">
        <v>-0.87537399999999999</v>
      </c>
      <c r="H95" s="12">
        <v>9</v>
      </c>
      <c r="I95" s="27">
        <v>-1.3244000000000001E-2</v>
      </c>
      <c r="J95" s="28">
        <v>-0.93355900000000003</v>
      </c>
    </row>
    <row r="96" spans="2:10" x14ac:dyDescent="0.3">
      <c r="B96" s="3">
        <v>10</v>
      </c>
      <c r="C96" s="5">
        <v>-3.8370000000000001E-3</v>
      </c>
      <c r="D96" s="4">
        <v>-0.26147900000000002</v>
      </c>
      <c r="E96" s="12">
        <v>10</v>
      </c>
      <c r="F96" s="5">
        <v>-1.3681E-2</v>
      </c>
      <c r="G96" s="4">
        <v>-1.1089610000000001</v>
      </c>
      <c r="H96" s="12">
        <v>10</v>
      </c>
      <c r="I96" s="27">
        <v>-1.4147E-2</v>
      </c>
      <c r="J96" s="28">
        <v>-1.0847720000000001</v>
      </c>
    </row>
    <row r="97" spans="2:12" x14ac:dyDescent="0.3">
      <c r="B97" s="3">
        <v>11</v>
      </c>
      <c r="C97" s="5">
        <v>-8.3590000000000001E-3</v>
      </c>
      <c r="D97" s="4">
        <v>-0.57625099999999996</v>
      </c>
      <c r="E97" s="12">
        <v>11</v>
      </c>
      <c r="F97" s="5">
        <v>-1.2479000000000001E-2</v>
      </c>
      <c r="G97" s="4">
        <v>-1.030543</v>
      </c>
      <c r="H97" s="12">
        <v>11</v>
      </c>
      <c r="I97" s="27">
        <v>-1.4260999999999999E-2</v>
      </c>
      <c r="J97" s="28">
        <v>-1.134441</v>
      </c>
    </row>
    <row r="98" spans="2:12" x14ac:dyDescent="0.3">
      <c r="B98" s="3">
        <v>12</v>
      </c>
      <c r="C98" s="5">
        <v>-3.441E-3</v>
      </c>
      <c r="D98" s="4">
        <v>-0.24679799999999999</v>
      </c>
      <c r="E98" s="12">
        <v>12</v>
      </c>
      <c r="F98" s="5">
        <v>-9.8860000000000007E-3</v>
      </c>
      <c r="G98" s="4">
        <v>-0.78086299999999997</v>
      </c>
      <c r="H98" s="12">
        <v>12</v>
      </c>
      <c r="I98" s="27">
        <v>-1.0120000000000001E-2</v>
      </c>
      <c r="J98" s="28">
        <v>-0.79571599999999998</v>
      </c>
    </row>
    <row r="99" spans="2:12" x14ac:dyDescent="0.3">
      <c r="B99" s="3">
        <v>13</v>
      </c>
      <c r="C99" s="5">
        <v>-1.1069999999999999E-3</v>
      </c>
      <c r="D99" s="4">
        <v>-7.7894000000000005E-2</v>
      </c>
      <c r="E99" s="12">
        <v>13</v>
      </c>
      <c r="F99" s="5">
        <v>-9.4359999999999999E-3</v>
      </c>
      <c r="G99" s="4">
        <v>-0.76016499999999998</v>
      </c>
      <c r="H99" s="12">
        <v>13</v>
      </c>
      <c r="I99" s="27">
        <v>-7.6420000000000004E-3</v>
      </c>
      <c r="J99" s="28">
        <v>-0.656088</v>
      </c>
    </row>
    <row r="100" spans="2:12" x14ac:dyDescent="0.3">
      <c r="B100" s="3">
        <v>14</v>
      </c>
      <c r="C100" s="5">
        <v>4.9890000000000004E-3</v>
      </c>
      <c r="D100" s="4">
        <v>0.305307</v>
      </c>
      <c r="E100" s="12">
        <v>14</v>
      </c>
      <c r="F100" s="5">
        <v>-1.0857E-2</v>
      </c>
      <c r="G100" s="4">
        <v>-0.83737899999999998</v>
      </c>
      <c r="H100" s="12">
        <v>14</v>
      </c>
      <c r="I100" s="27">
        <v>-7.8519999999999996E-3</v>
      </c>
      <c r="J100" s="28">
        <v>-0.69110000000000005</v>
      </c>
    </row>
    <row r="101" spans="2:12" x14ac:dyDescent="0.3">
      <c r="B101" s="3">
        <v>15</v>
      </c>
      <c r="C101" s="5">
        <v>1.1960999999999999E-2</v>
      </c>
      <c r="D101" s="4">
        <v>0.663547</v>
      </c>
      <c r="E101" s="12">
        <v>15</v>
      </c>
      <c r="F101" s="5">
        <v>-8.5939999999999992E-3</v>
      </c>
      <c r="G101" s="4">
        <v>-0.65294799999999997</v>
      </c>
      <c r="H101" s="12">
        <v>15</v>
      </c>
      <c r="I101" s="27">
        <v>-3.9659999999999999E-3</v>
      </c>
      <c r="J101" s="28">
        <v>-0.29635499999999998</v>
      </c>
    </row>
    <row r="102" spans="2:12" x14ac:dyDescent="0.3">
      <c r="B102" s="3">
        <v>16</v>
      </c>
      <c r="C102" s="5">
        <v>1.0803999999999999E-2</v>
      </c>
      <c r="D102" s="4">
        <v>0.50827199999999995</v>
      </c>
      <c r="E102" s="12">
        <v>16</v>
      </c>
      <c r="F102" s="5">
        <v>-4.5909999999999996E-3</v>
      </c>
      <c r="G102" s="4">
        <v>-0.30232399999999998</v>
      </c>
      <c r="H102" s="12">
        <v>16</v>
      </c>
      <c r="I102" s="27">
        <v>-5.5469999999999998E-3</v>
      </c>
      <c r="J102" s="28">
        <v>-0.40917199999999998</v>
      </c>
    </row>
    <row r="103" spans="2:12" x14ac:dyDescent="0.3">
      <c r="B103" s="3">
        <v>17</v>
      </c>
      <c r="C103" s="5">
        <v>7.1929999999999997E-3</v>
      </c>
      <c r="D103" s="4">
        <v>0.273148</v>
      </c>
      <c r="E103" s="12">
        <v>17</v>
      </c>
      <c r="F103" s="5">
        <v>-5.7540000000000004E-3</v>
      </c>
      <c r="G103" s="4">
        <v>-0.33613900000000002</v>
      </c>
      <c r="H103" s="12">
        <v>17</v>
      </c>
      <c r="I103" s="27">
        <v>-5.764E-3</v>
      </c>
      <c r="J103" s="28">
        <v>-0.36808600000000002</v>
      </c>
    </row>
    <row r="104" spans="2:12" x14ac:dyDescent="0.3">
      <c r="B104" s="3">
        <v>18</v>
      </c>
      <c r="C104" s="5">
        <v>1.3221E-2</v>
      </c>
      <c r="D104" s="4">
        <v>0.49925999999999998</v>
      </c>
      <c r="E104" s="12">
        <v>18</v>
      </c>
      <c r="F104" s="5">
        <v>-2.996E-3</v>
      </c>
      <c r="G104" s="4">
        <v>-0.155668</v>
      </c>
      <c r="H104" s="12">
        <v>18</v>
      </c>
      <c r="I104" s="27">
        <v>-5.0070000000000002E-3</v>
      </c>
      <c r="J104" s="28">
        <v>-0.29831099999999999</v>
      </c>
    </row>
    <row r="105" spans="2:12" x14ac:dyDescent="0.3">
      <c r="B105" s="3">
        <v>19</v>
      </c>
      <c r="C105" s="5">
        <v>1.2137999999999999E-2</v>
      </c>
      <c r="D105" s="4">
        <v>0.35394700000000001</v>
      </c>
      <c r="E105" s="12">
        <v>19</v>
      </c>
      <c r="F105" s="5">
        <v>-8.0859999999999994E-3</v>
      </c>
      <c r="G105" s="4">
        <v>-0.32047900000000001</v>
      </c>
      <c r="H105" s="12">
        <v>19</v>
      </c>
      <c r="I105" s="27">
        <v>-1.4977000000000001E-2</v>
      </c>
      <c r="J105" s="28">
        <v>-0.70108899999999996</v>
      </c>
    </row>
    <row r="107" spans="2:12" x14ac:dyDescent="0.3">
      <c r="B107" s="1" t="s">
        <v>74</v>
      </c>
    </row>
    <row r="108" spans="2:12" x14ac:dyDescent="0.3">
      <c r="B108" s="1" t="s">
        <v>44</v>
      </c>
    </row>
    <row r="109" spans="2:12" x14ac:dyDescent="0.3">
      <c r="B109" s="13" t="s">
        <v>5</v>
      </c>
      <c r="C109" s="13" t="s">
        <v>6</v>
      </c>
      <c r="D109" s="13" t="s">
        <v>7</v>
      </c>
      <c r="E109" s="13" t="s">
        <v>8</v>
      </c>
      <c r="F109" s="13" t="s">
        <v>9</v>
      </c>
      <c r="G109" s="13" t="s">
        <v>10</v>
      </c>
      <c r="H109" s="13" t="s">
        <v>11</v>
      </c>
      <c r="I109" s="13" t="s">
        <v>12</v>
      </c>
      <c r="J109" s="13" t="s">
        <v>13</v>
      </c>
      <c r="K109" s="13" t="s">
        <v>14</v>
      </c>
      <c r="L109" s="13" t="s">
        <v>15</v>
      </c>
    </row>
    <row r="110" spans="2:12" x14ac:dyDescent="0.3">
      <c r="B110" s="1" t="s">
        <v>21</v>
      </c>
      <c r="C110" s="1" t="s">
        <v>16</v>
      </c>
      <c r="D110" s="1" t="s">
        <v>17</v>
      </c>
      <c r="E110" s="15">
        <v>4.7141000000000002E-2</v>
      </c>
      <c r="F110" s="16">
        <v>2.8195510000000001</v>
      </c>
      <c r="G110" s="17">
        <v>0.8</v>
      </c>
      <c r="H110" s="16">
        <v>1</v>
      </c>
      <c r="I110" s="15">
        <v>0.14952399999999999</v>
      </c>
      <c r="J110" s="16">
        <v>1.6967159999999999</v>
      </c>
      <c r="K110" s="15">
        <v>5.3666999999999999E-2</v>
      </c>
      <c r="L110" s="16">
        <v>1.1558390000000001</v>
      </c>
    </row>
    <row r="111" spans="2:12" x14ac:dyDescent="0.3">
      <c r="B111" s="1" t="s">
        <v>49</v>
      </c>
      <c r="C111" s="1" t="s">
        <v>16</v>
      </c>
      <c r="D111" s="1" t="s">
        <v>17</v>
      </c>
      <c r="E111" s="15">
        <v>-4.1688999999999997E-2</v>
      </c>
      <c r="F111" s="16">
        <v>-2.431705</v>
      </c>
      <c r="G111" s="17">
        <v>0.75833300000000003</v>
      </c>
      <c r="H111" s="16">
        <v>0.98787899999999995</v>
      </c>
      <c r="I111" s="15">
        <v>0.150228</v>
      </c>
      <c r="J111" s="16">
        <v>1.6875830000000001</v>
      </c>
      <c r="K111" s="15">
        <v>4.7649999999999998E-2</v>
      </c>
      <c r="L111" s="16">
        <v>0.93712499999999999</v>
      </c>
    </row>
    <row r="112" spans="2:12" x14ac:dyDescent="0.3">
      <c r="B112" s="1" t="s">
        <v>31</v>
      </c>
      <c r="C112" s="1" t="s">
        <v>16</v>
      </c>
      <c r="D112" s="1" t="s">
        <v>17</v>
      </c>
      <c r="E112" s="15">
        <v>4.9051999999999998E-2</v>
      </c>
      <c r="F112" s="16">
        <v>2.7299530000000001</v>
      </c>
      <c r="G112" s="17">
        <v>0.79166700000000001</v>
      </c>
      <c r="H112" s="16">
        <v>0.97575800000000001</v>
      </c>
      <c r="I112" s="15">
        <v>0.17175399999999999</v>
      </c>
      <c r="J112" s="16">
        <v>1.9066000000000001</v>
      </c>
      <c r="K112" s="15">
        <v>6.3476000000000005E-2</v>
      </c>
      <c r="L112" s="16">
        <v>1.3552120000000001</v>
      </c>
    </row>
    <row r="114" spans="2:4" x14ac:dyDescent="0.3">
      <c r="B114" s="1" t="s">
        <v>53</v>
      </c>
    </row>
    <row r="115" spans="2:4" x14ac:dyDescent="0.3">
      <c r="B115" s="1" t="s">
        <v>55</v>
      </c>
    </row>
    <row r="116" spans="2:4" x14ac:dyDescent="0.3">
      <c r="B116" s="9" t="s">
        <v>54</v>
      </c>
      <c r="C116" s="9" t="s">
        <v>2</v>
      </c>
      <c r="D116" s="9" t="s">
        <v>3</v>
      </c>
    </row>
    <row r="117" spans="2:4" x14ac:dyDescent="0.3">
      <c r="B117" s="3">
        <v>0</v>
      </c>
      <c r="C117" s="5">
        <v>-8.5100999999999996E-2</v>
      </c>
      <c r="D117" s="4">
        <v>-2.700993</v>
      </c>
    </row>
    <row r="118" spans="2:4" x14ac:dyDescent="0.3">
      <c r="B118" s="3">
        <v>1</v>
      </c>
      <c r="C118" s="5">
        <v>-7.9427999999999999E-2</v>
      </c>
      <c r="D118" s="4">
        <v>-2.4208699999999999</v>
      </c>
    </row>
    <row r="119" spans="2:4" x14ac:dyDescent="0.3">
      <c r="B119" s="3">
        <v>2</v>
      </c>
      <c r="C119" s="5">
        <v>-7.9043000000000002E-2</v>
      </c>
      <c r="D119" s="4">
        <v>-2.381281</v>
      </c>
    </row>
    <row r="120" spans="2:4" x14ac:dyDescent="0.3">
      <c r="B120" s="3">
        <v>3</v>
      </c>
      <c r="C120" s="5">
        <v>-7.4579999999999994E-2</v>
      </c>
      <c r="D120" s="4">
        <v>-2.1858840000000002</v>
      </c>
    </row>
    <row r="121" spans="2:4" x14ac:dyDescent="0.3">
      <c r="B121" s="3">
        <v>4</v>
      </c>
      <c r="C121" s="5">
        <v>-7.0601999999999998E-2</v>
      </c>
      <c r="D121" s="4">
        <v>-2.0766269999999998</v>
      </c>
    </row>
    <row r="122" spans="2:4" x14ac:dyDescent="0.3">
      <c r="B122" s="3">
        <v>5</v>
      </c>
      <c r="C122" s="5">
        <v>-6.3732999999999998E-2</v>
      </c>
      <c r="D122" s="4">
        <v>-1.8306720000000001</v>
      </c>
    </row>
    <row r="123" spans="2:4" x14ac:dyDescent="0.3">
      <c r="B123" s="3">
        <v>6</v>
      </c>
      <c r="C123" s="5">
        <v>-6.3200000000000006E-2</v>
      </c>
      <c r="D123" s="4">
        <v>-1.8418030000000001</v>
      </c>
    </row>
    <row r="124" spans="2:4" x14ac:dyDescent="0.3">
      <c r="B124" s="3">
        <v>7</v>
      </c>
      <c r="C124" s="5">
        <v>-6.4865000000000006E-2</v>
      </c>
      <c r="D124" s="4">
        <v>-1.849745</v>
      </c>
    </row>
    <row r="125" spans="2:4" x14ac:dyDescent="0.3">
      <c r="B125" s="3">
        <v>8</v>
      </c>
      <c r="C125" s="5">
        <v>-5.9492000000000003E-2</v>
      </c>
      <c r="D125" s="4">
        <v>-1.7168920000000001</v>
      </c>
    </row>
    <row r="126" spans="2:4" x14ac:dyDescent="0.3">
      <c r="B126" s="3">
        <v>9</v>
      </c>
      <c r="C126" s="5">
        <v>-5.9160999999999998E-2</v>
      </c>
      <c r="D126" s="4">
        <v>-1.7161379999999999</v>
      </c>
    </row>
    <row r="127" spans="2:4" x14ac:dyDescent="0.3">
      <c r="B127" s="3">
        <v>10</v>
      </c>
      <c r="C127" s="5">
        <v>-5.8743999999999998E-2</v>
      </c>
      <c r="D127" s="4">
        <v>-1.7326410000000001</v>
      </c>
    </row>
    <row r="128" spans="2:4" x14ac:dyDescent="0.3">
      <c r="B128" s="3">
        <v>11</v>
      </c>
      <c r="C128" s="5">
        <v>-5.4025999999999998E-2</v>
      </c>
      <c r="D128" s="4">
        <v>-1.597032</v>
      </c>
    </row>
    <row r="129" spans="2:12" x14ac:dyDescent="0.3">
      <c r="B129" s="3">
        <v>12</v>
      </c>
      <c r="C129" s="5">
        <v>-5.0652000000000003E-2</v>
      </c>
      <c r="D129" s="4">
        <v>-1.488116</v>
      </c>
    </row>
    <row r="130" spans="2:12" x14ac:dyDescent="0.3">
      <c r="B130" s="3">
        <v>13</v>
      </c>
      <c r="C130" s="5">
        <v>-4.9404000000000003E-2</v>
      </c>
      <c r="D130" s="4">
        <v>-1.441222</v>
      </c>
    </row>
    <row r="131" spans="2:12" x14ac:dyDescent="0.3">
      <c r="B131" s="3">
        <v>14</v>
      </c>
      <c r="C131" s="5">
        <v>-4.6599000000000002E-2</v>
      </c>
      <c r="D131" s="4">
        <v>-1.3616539999999999</v>
      </c>
    </row>
    <row r="132" spans="2:12" x14ac:dyDescent="0.3">
      <c r="B132" s="3">
        <v>15</v>
      </c>
      <c r="C132" s="5">
        <v>-4.3673999999999998E-2</v>
      </c>
      <c r="D132" s="4">
        <v>-1.2474959999999999</v>
      </c>
    </row>
    <row r="133" spans="2:12" x14ac:dyDescent="0.3">
      <c r="B133" s="3">
        <v>16</v>
      </c>
      <c r="C133" s="5">
        <v>-4.0708000000000001E-2</v>
      </c>
      <c r="D133" s="4">
        <v>-1.112363</v>
      </c>
    </row>
    <row r="134" spans="2:12" x14ac:dyDescent="0.3">
      <c r="B134" s="3">
        <v>17</v>
      </c>
      <c r="C134" s="5">
        <v>-3.5249000000000003E-2</v>
      </c>
      <c r="D134" s="4">
        <v>-0.97691799999999995</v>
      </c>
    </row>
    <row r="135" spans="2:12" x14ac:dyDescent="0.3">
      <c r="B135" s="3">
        <v>18</v>
      </c>
      <c r="C135" s="5">
        <v>-3.3819000000000002E-2</v>
      </c>
      <c r="D135" s="4">
        <v>-0.943353</v>
      </c>
    </row>
    <row r="136" spans="2:12" x14ac:dyDescent="0.3">
      <c r="B136" s="3">
        <v>19</v>
      </c>
      <c r="C136" s="5">
        <v>-3.7975000000000002E-2</v>
      </c>
      <c r="D136" s="4">
        <v>-1.0449539999999999</v>
      </c>
    </row>
    <row r="137" spans="2:12" x14ac:dyDescent="0.3">
      <c r="B137" s="6" t="s">
        <v>71</v>
      </c>
      <c r="C137" s="7">
        <v>-9.3619999999999995E-2</v>
      </c>
      <c r="D137" s="8">
        <v>-1.8829039999999999</v>
      </c>
    </row>
    <row r="139" spans="2:12" x14ac:dyDescent="0.3">
      <c r="B139" s="1" t="s">
        <v>56</v>
      </c>
    </row>
    <row r="140" spans="2:12" x14ac:dyDescent="0.3">
      <c r="B140" s="13" t="s">
        <v>5</v>
      </c>
      <c r="C140" s="13" t="s">
        <v>6</v>
      </c>
      <c r="D140" s="13" t="s">
        <v>7</v>
      </c>
      <c r="E140" s="13" t="s">
        <v>8</v>
      </c>
      <c r="F140" s="13" t="s">
        <v>9</v>
      </c>
      <c r="G140" s="13" t="s">
        <v>10</v>
      </c>
      <c r="H140" s="13" t="s">
        <v>11</v>
      </c>
      <c r="I140" s="13" t="s">
        <v>12</v>
      </c>
      <c r="J140" s="13" t="s">
        <v>13</v>
      </c>
      <c r="K140" s="13" t="s">
        <v>14</v>
      </c>
      <c r="L140" s="13" t="s">
        <v>15</v>
      </c>
    </row>
    <row r="141" spans="2:12" x14ac:dyDescent="0.3">
      <c r="B141" s="1" t="s">
        <v>18</v>
      </c>
      <c r="C141" s="1" t="s">
        <v>16</v>
      </c>
      <c r="D141" s="1" t="s">
        <v>17</v>
      </c>
      <c r="E141" s="15">
        <v>-9.8175999999999999E-2</v>
      </c>
      <c r="F141" s="16">
        <v>-3.4200919999999999</v>
      </c>
      <c r="G141" s="17">
        <v>0.88333300000000003</v>
      </c>
      <c r="H141" s="16">
        <v>0.84242399999999995</v>
      </c>
      <c r="I141" s="15">
        <v>0.22118199999999999</v>
      </c>
      <c r="J141" s="16">
        <v>1.5243279999999999</v>
      </c>
      <c r="K141" s="15">
        <v>3.4382000000000003E-2</v>
      </c>
      <c r="L141" s="16">
        <v>0.63384300000000005</v>
      </c>
    </row>
    <row r="142" spans="2:12" x14ac:dyDescent="0.3">
      <c r="B142" s="1" t="s">
        <v>19</v>
      </c>
      <c r="C142" s="1" t="s">
        <v>16</v>
      </c>
      <c r="D142" s="1" t="s">
        <v>17</v>
      </c>
      <c r="E142" s="15">
        <v>-6.0588000000000003E-2</v>
      </c>
      <c r="F142" s="16">
        <v>-1.887362</v>
      </c>
      <c r="G142" s="17">
        <v>0.73333300000000001</v>
      </c>
      <c r="H142" s="16">
        <v>0.47878799999999999</v>
      </c>
      <c r="I142" s="15">
        <v>7.5953000000000007E-2</v>
      </c>
      <c r="J142" s="16">
        <v>0.39077600000000001</v>
      </c>
      <c r="K142" s="15">
        <v>-1.3452E-2</v>
      </c>
      <c r="L142" s="16">
        <v>-0.22819500000000001</v>
      </c>
    </row>
    <row r="143" spans="2:12" x14ac:dyDescent="0.3">
      <c r="B143" s="1" t="s">
        <v>51</v>
      </c>
      <c r="C143" s="1" t="s">
        <v>16</v>
      </c>
      <c r="D143" s="1" t="s">
        <v>17</v>
      </c>
      <c r="E143" s="15">
        <v>7.1584999999999996E-2</v>
      </c>
      <c r="F143" s="16">
        <v>3.9914480000000001</v>
      </c>
      <c r="G143" s="17">
        <v>0.875</v>
      </c>
      <c r="H143" s="16">
        <v>0.92727300000000001</v>
      </c>
      <c r="I143" s="15">
        <v>0.18953800000000001</v>
      </c>
      <c r="J143" s="16">
        <v>2.066621</v>
      </c>
      <c r="K143" s="15">
        <v>3.2658E-2</v>
      </c>
      <c r="L143" s="16">
        <v>0.75707100000000005</v>
      </c>
    </row>
    <row r="145" spans="2:12" x14ac:dyDescent="0.3">
      <c r="B145" s="1" t="s">
        <v>72</v>
      </c>
    </row>
    <row r="146" spans="2:12" x14ac:dyDescent="0.3">
      <c r="B146" s="13" t="s">
        <v>5</v>
      </c>
      <c r="C146" s="13" t="s">
        <v>6</v>
      </c>
      <c r="D146" s="13" t="s">
        <v>7</v>
      </c>
      <c r="E146" s="13" t="s">
        <v>8</v>
      </c>
      <c r="F146" s="13" t="s">
        <v>9</v>
      </c>
      <c r="G146" s="13" t="s">
        <v>10</v>
      </c>
      <c r="H146" s="13" t="s">
        <v>11</v>
      </c>
      <c r="I146" s="13" t="s">
        <v>12</v>
      </c>
      <c r="J146" s="13" t="s">
        <v>13</v>
      </c>
      <c r="K146" s="13" t="s">
        <v>14</v>
      </c>
      <c r="L146" s="13" t="s">
        <v>15</v>
      </c>
    </row>
    <row r="147" spans="2:12" x14ac:dyDescent="0.3">
      <c r="B147" s="1" t="s">
        <v>51</v>
      </c>
      <c r="C147" s="1" t="s">
        <v>16</v>
      </c>
      <c r="D147" s="1" t="s">
        <v>17</v>
      </c>
      <c r="E147" s="15">
        <v>7.1584999999999996E-2</v>
      </c>
      <c r="F147" s="16">
        <v>3.9914480000000001</v>
      </c>
      <c r="G147" s="17">
        <v>0.875</v>
      </c>
      <c r="H147" s="16">
        <v>0.92727300000000001</v>
      </c>
      <c r="I147" s="15">
        <v>0.18953800000000001</v>
      </c>
      <c r="J147" s="16">
        <v>2.066621</v>
      </c>
      <c r="K147" s="15">
        <v>3.2658E-2</v>
      </c>
      <c r="L147" s="16">
        <v>0.75707100000000005</v>
      </c>
    </row>
    <row r="148" spans="2:12" x14ac:dyDescent="0.3">
      <c r="B148" s="1" t="s">
        <v>57</v>
      </c>
      <c r="C148" s="1" t="s">
        <v>16</v>
      </c>
      <c r="D148" s="1" t="s">
        <v>17</v>
      </c>
      <c r="E148" s="15">
        <v>-9.2279E-2</v>
      </c>
      <c r="F148" s="16">
        <v>-2.7996590000000001</v>
      </c>
      <c r="G148" s="17">
        <v>0.8</v>
      </c>
      <c r="H148" s="16">
        <v>0.73333300000000001</v>
      </c>
      <c r="I148" s="15">
        <v>0.169821</v>
      </c>
      <c r="J148" s="16">
        <v>0.97725399999999996</v>
      </c>
      <c r="K148" s="15">
        <v>1.438E-2</v>
      </c>
      <c r="L148" s="16">
        <v>0.23094200000000001</v>
      </c>
    </row>
    <row r="149" spans="2:12" x14ac:dyDescent="0.3">
      <c r="B149" s="1" t="s">
        <v>27</v>
      </c>
      <c r="C149" s="1" t="s">
        <v>16</v>
      </c>
      <c r="D149" s="1" t="s">
        <v>17</v>
      </c>
      <c r="E149" s="15">
        <v>4.2872E-2</v>
      </c>
      <c r="F149" s="16">
        <v>2.5291990000000002</v>
      </c>
      <c r="G149" s="17">
        <v>0.77500000000000002</v>
      </c>
      <c r="H149" s="16">
        <v>0.91515199999999997</v>
      </c>
      <c r="I149" s="15">
        <v>9.6666000000000002E-2</v>
      </c>
      <c r="J149" s="16">
        <v>0.92491900000000005</v>
      </c>
      <c r="K149" s="15">
        <v>3.0307000000000001E-2</v>
      </c>
      <c r="L149" s="16">
        <v>0.53886400000000001</v>
      </c>
    </row>
  </sheetData>
  <mergeCells count="4">
    <mergeCell ref="C18:L18"/>
    <mergeCell ref="C19:L19"/>
    <mergeCell ref="C20:L20"/>
    <mergeCell ref="C21:L21"/>
  </mergeCells>
  <phoneticPr fontId="2" type="noConversion"/>
  <conditionalFormatting sqref="C30:C50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6:C105 F86:F105 I86:I105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6:C105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0:D50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6:D105 G86:G105 J86:J105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6:D105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5:E60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5:E61 E63:E68">
    <cfRule type="colorScale" priority="1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5:E61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3:E68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2:E74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8:E80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5:F60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5:F61 F63:F68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5:F61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3:F6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2:F7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8:F80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86:F105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5:G61 G63:G68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{EA4E4EDA-4DA3-4579-9369-F28CABC5EED1}</x14:id>
        </ext>
      </extLst>
    </cfRule>
  </conditionalFormatting>
  <conditionalFormatting sqref="G72:G7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{325A3F0C-1F09-4BFD-8E5D-9A673FA9C1A9}</x14:id>
        </ext>
      </extLst>
    </cfRule>
  </conditionalFormatting>
  <conditionalFormatting sqref="G78:G80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{3EEA3ABD-9331-475F-9555-6804A3D04823}</x14:id>
        </ext>
      </extLst>
    </cfRule>
  </conditionalFormatting>
  <conditionalFormatting sqref="G86:G105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5:H61 H63:H68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{80FEF66E-2DC7-4437-939B-E2AF0ADA0D98}</x14:id>
        </ext>
      </extLst>
    </cfRule>
  </conditionalFormatting>
  <conditionalFormatting sqref="H72:H74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{01C4B9A6-2642-44F0-B5E8-42DB2AB29045}</x14:id>
        </ext>
      </extLst>
    </cfRule>
  </conditionalFormatting>
  <conditionalFormatting sqref="H78:H8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{9854FBFD-4442-4BE9-A342-67AC8A851834}</x14:id>
        </ext>
      </extLst>
    </cfRule>
  </conditionalFormatting>
  <conditionalFormatting sqref="I55:I60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5:I61 I63:I68">
    <cfRule type="colorScale" priority="1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5:I61">
    <cfRule type="colorScale" priority="1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63:I68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72:I74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78:I80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6:I105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6:J105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5:K60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5:K61 K63:K68">
    <cfRule type="colorScale" priority="1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5:K61">
    <cfRule type="colorScale" priority="1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63:K68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72:K74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78:K80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0:E112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10:F11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10:G112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{01026201-586E-4D01-92A1-9F7C9068A3AC}</x14:id>
        </ext>
      </extLst>
    </cfRule>
  </conditionalFormatting>
  <conditionalFormatting sqref="H110:H112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{8DA66CE5-C5E6-42E4-8415-0DAF0A35FEE9}</x14:id>
        </ext>
      </extLst>
    </cfRule>
  </conditionalFormatting>
  <conditionalFormatting sqref="I110:I112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0:K112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7:C13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7:C136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7:D13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7:D13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43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41:F14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41:G1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{3E1B0888-6E7D-4A9F-8681-91696CBBE1C5}</x14:id>
        </ext>
      </extLst>
    </cfRule>
  </conditionalFormatting>
  <conditionalFormatting sqref="H141:H1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{DDA093A4-220A-4627-A46E-4EC60688595A}</x14:id>
        </ext>
      </extLst>
    </cfRule>
  </conditionalFormatting>
  <conditionalFormatting sqref="I141:I143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1:K143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47:E14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47:F14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47:G14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{E8227302-42FF-4726-81C8-8E6EE192C8F0}</x14:id>
        </ext>
      </extLst>
    </cfRule>
  </conditionalFormatting>
  <conditionalFormatting sqref="H147:H14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{BF939157-F3BD-4ED6-8AC5-16B53EB51149}</x14:id>
        </ext>
      </extLst>
    </cfRule>
  </conditionalFormatting>
  <conditionalFormatting sqref="I147:I149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7:K14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{DA8B9297-B28F-4320-B8C2-E2566FCB5736}</x14:id>
        </ext>
      </extLst>
    </cfRule>
  </conditionalFormatting>
  <conditionalFormatting sqref="H5:H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{45FE8B7C-2AA7-4F33-B3F9-260548AC548C}</x14:id>
        </ext>
      </extLst>
    </cfRule>
  </conditionalFormatting>
  <conditionalFormatting sqref="I5:I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E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4E4EDA-4DA3-4579-9369-F28CABC5EE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G55:G61 G63:G68</xm:sqref>
        </x14:conditionalFormatting>
        <x14:conditionalFormatting xmlns:xm="http://schemas.microsoft.com/office/excel/2006/main">
          <x14:cfRule type="dataBar" id="{325A3F0C-1F09-4BFD-8E5D-9A673FA9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G72:G74</xm:sqref>
        </x14:conditionalFormatting>
        <x14:conditionalFormatting xmlns:xm="http://schemas.microsoft.com/office/excel/2006/main">
          <x14:cfRule type="dataBar" id="{3EEA3ABD-9331-475F-9555-6804A3D04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G78:G80</xm:sqref>
        </x14:conditionalFormatting>
        <x14:conditionalFormatting xmlns:xm="http://schemas.microsoft.com/office/excel/2006/main">
          <x14:cfRule type="dataBar" id="{80FEF66E-2DC7-4437-939B-E2AF0ADA0D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H55:H61 H63:H68</xm:sqref>
        </x14:conditionalFormatting>
        <x14:conditionalFormatting xmlns:xm="http://schemas.microsoft.com/office/excel/2006/main">
          <x14:cfRule type="dataBar" id="{01C4B9A6-2642-44F0-B5E8-42DB2AB290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H72:H74</xm:sqref>
        </x14:conditionalFormatting>
        <x14:conditionalFormatting xmlns:xm="http://schemas.microsoft.com/office/excel/2006/main">
          <x14:cfRule type="dataBar" id="{9854FBFD-4442-4BE9-A342-67AC8A8518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H78:H80</xm:sqref>
        </x14:conditionalFormatting>
        <x14:conditionalFormatting xmlns:xm="http://schemas.microsoft.com/office/excel/2006/main">
          <x14:cfRule type="dataBar" id="{01026201-586E-4D01-92A1-9F7C9068A3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G110:G112</xm:sqref>
        </x14:conditionalFormatting>
        <x14:conditionalFormatting xmlns:xm="http://schemas.microsoft.com/office/excel/2006/main">
          <x14:cfRule type="dataBar" id="{8DA66CE5-C5E6-42E4-8415-0DAF0A35F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H110:H112</xm:sqref>
        </x14:conditionalFormatting>
        <x14:conditionalFormatting xmlns:xm="http://schemas.microsoft.com/office/excel/2006/main">
          <x14:cfRule type="dataBar" id="{3E1B0888-6E7D-4A9F-8681-91696CBBE1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G141:G143</xm:sqref>
        </x14:conditionalFormatting>
        <x14:conditionalFormatting xmlns:xm="http://schemas.microsoft.com/office/excel/2006/main">
          <x14:cfRule type="dataBar" id="{DDA093A4-220A-4627-A46E-4EC6068859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H141:H143</xm:sqref>
        </x14:conditionalFormatting>
        <x14:conditionalFormatting xmlns:xm="http://schemas.microsoft.com/office/excel/2006/main">
          <x14:cfRule type="dataBar" id="{E8227302-42FF-4726-81C8-8E6EE192C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G147:G149</xm:sqref>
        </x14:conditionalFormatting>
        <x14:conditionalFormatting xmlns:xm="http://schemas.microsoft.com/office/excel/2006/main">
          <x14:cfRule type="dataBar" id="{BF939157-F3BD-4ED6-8AC5-16B53EB51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H147:H149</xm:sqref>
        </x14:conditionalFormatting>
        <x14:conditionalFormatting xmlns:xm="http://schemas.microsoft.com/office/excel/2006/main">
          <x14:cfRule type="dataBar" id="{DA8B9297-B28F-4320-B8C2-E2566FCB57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G5:G7</xm:sqref>
        </x14:conditionalFormatting>
        <x14:conditionalFormatting xmlns:xm="http://schemas.microsoft.com/office/excel/2006/main">
          <x14:cfRule type="dataBar" id="{45FE8B7C-2AA7-4F33-B3F9-260548AC54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chen</dc:creator>
  <cp:lastModifiedBy>hua chen</cp:lastModifiedBy>
  <dcterms:created xsi:type="dcterms:W3CDTF">2026-02-10T03:05:52Z</dcterms:created>
  <dcterms:modified xsi:type="dcterms:W3CDTF">2026-02-11T01:21:28Z</dcterms:modified>
</cp:coreProperties>
</file>