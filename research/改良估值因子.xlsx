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Quant\hyc_quant_project\research\"/>
    </mc:Choice>
  </mc:AlternateContent>
  <xr:revisionPtr revIDLastSave="0" documentId="8_{B81DE83E-117F-4FA2-9A53-F170C8E419BB}" xr6:coauthVersionLast="47" xr6:coauthVersionMax="47" xr10:uidLastSave="{00000000-0000-0000-0000-000000000000}"/>
  <bookViews>
    <workbookView xWindow="-110" yWindow="-110" windowWidth="25820" windowHeight="15500" xr2:uid="{6EE29EFA-6498-41DC-A11D-1992416BC275}"/>
  </bookViews>
  <sheets>
    <sheet name="Summary" sheetId="1" r:id="rId1"/>
    <sheet name="附录1_所有因子表现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0" i="1" l="1" a="1"/>
  <c r="F190" i="1" s="1"/>
  <c r="E190" i="1" l="1"/>
  <c r="L190" i="1"/>
  <c r="K190" i="1"/>
  <c r="J190" i="1"/>
  <c r="I190" i="1"/>
  <c r="H190" i="1"/>
  <c r="G190" i="1"/>
</calcChain>
</file>

<file path=xl/sharedStrings.xml><?xml version="1.0" encoding="utf-8"?>
<sst xmlns="http://schemas.openxmlformats.org/spreadsheetml/2006/main" count="831" uniqueCount="230">
  <si>
    <t>一、结论</t>
    <phoneticPr fontId="1" type="noConversion"/>
  </si>
  <si>
    <t>二、数据准备</t>
    <phoneticPr fontId="1" type="noConversion"/>
  </si>
  <si>
    <t>2）对利润表、现金流量表的所有科目，加工当季值，方法为如果财报为一季报，则返回原始值，否则返回原始值-上一期财报原始值，如果上一期为空则返回nan</t>
    <phoneticPr fontId="1" type="noConversion"/>
  </si>
  <si>
    <t>数据预处理</t>
    <phoneticPr fontId="1" type="noConversion"/>
  </si>
  <si>
    <t>股票池</t>
    <phoneticPr fontId="1" type="noConversion"/>
  </si>
  <si>
    <t>测试区间</t>
    <phoneticPr fontId="1" type="noConversion"/>
  </si>
  <si>
    <t>因子预处理</t>
    <phoneticPr fontId="1" type="noConversion"/>
  </si>
  <si>
    <t>标签定义</t>
    <phoneticPr fontId="1" type="noConversion"/>
  </si>
  <si>
    <t>因子加工</t>
    <phoneticPr fontId="1" type="noConversion"/>
  </si>
  <si>
    <t>三、研究步骤</t>
    <phoneticPr fontId="1" type="noConversion"/>
  </si>
  <si>
    <t>3）对利润表、现金流量表的所有科目，加工TTM值，方法为对最近四期当季值求和，如果任意一期当季值为空则返回nan</t>
    <phoneticPr fontId="1" type="noConversion"/>
  </si>
  <si>
    <t>1）取每个自然月最后一个交易日作为观察时点，取个股财报实际披露日期&lt;观察时点的所有财报，同一期按照实际披露日期去重保留最新一份</t>
    <phoneticPr fontId="1" type="noConversion"/>
  </si>
  <si>
    <t>传统估值因子一般包括bp（净资产/市值）、ep（净利润/市值）、sp（营业收入/市值）、ocfp（营运净现金流/市值）、divp（现金股利/市值）等</t>
    <phoneticPr fontId="1" type="noConversion"/>
  </si>
  <si>
    <t>对于分子是资产负债表字段的，使用MRQ（最近一期）口径；对于分子是利润表、现金流量表字段的，使用当季值和TTM口径；对于现金股利，只使用TTM口径（大多数股票一年最多分红一次）</t>
    <phoneticPr fontId="1" type="noConversion"/>
  </si>
  <si>
    <t>全A股，剔除北交所股票，剔除观察日上市不足365天、ST、停牌，剔除观察日下一个交易日涨停</t>
    <phoneticPr fontId="1" type="noConversion"/>
  </si>
  <si>
    <t>1）传统因子复现</t>
    <phoneticPr fontId="1" type="noConversion"/>
  </si>
  <si>
    <t>bp</t>
  </si>
  <si>
    <t>rep</t>
  </si>
  <si>
    <t>sp_q</t>
  </si>
  <si>
    <t>sp_ttm</t>
  </si>
  <si>
    <t>gpp_q</t>
  </si>
  <si>
    <t>gpp_ttm</t>
  </si>
  <si>
    <t>ep_q</t>
  </si>
  <si>
    <t>ep_ttm</t>
  </si>
  <si>
    <t>ocfp_q</t>
  </si>
  <si>
    <t>ocfp_ttm</t>
  </si>
  <si>
    <t>rdp_q</t>
  </si>
  <si>
    <t>rdp_ttm</t>
  </si>
  <si>
    <t>divp_ttm</t>
  </si>
  <si>
    <t>year</t>
  </si>
  <si>
    <t>首先考察上述因子缺失率，可见大多数因子缺失率很低，行业均值填充不会改变数据分布</t>
    <phoneticPr fontId="1" type="noConversion"/>
  </si>
  <si>
    <t>持仓周期</t>
    <phoneticPr fontId="1" type="noConversion"/>
  </si>
  <si>
    <t>2016.01-2025.12，每月最后一个交易日调仓</t>
    <phoneticPr fontId="1" type="noConversion"/>
  </si>
  <si>
    <t>观察日下一个交易日VWAP买入，持有N=20天后VWAP卖出的持仓收益</t>
    <phoneticPr fontId="1" type="noConversion"/>
  </si>
  <si>
    <t>20D</t>
  </si>
  <si>
    <t>total</t>
  </si>
  <si>
    <t>因子</t>
    <phoneticPr fontId="1" type="noConversion"/>
  </si>
  <si>
    <t>RankIC均值</t>
    <phoneticPr fontId="1" type="noConversion"/>
  </si>
  <si>
    <t>年化RankICIR</t>
    <phoneticPr fontId="1" type="noConversion"/>
  </si>
  <si>
    <t>IC月度胜率</t>
    <phoneticPr fontId="1" type="noConversion"/>
  </si>
  <si>
    <t>IC单调性</t>
    <phoneticPr fontId="1" type="noConversion"/>
  </si>
  <si>
    <t>多空夏普</t>
    <phoneticPr fontId="1" type="noConversion"/>
  </si>
  <si>
    <t>多头超额IR</t>
    <phoneticPr fontId="1" type="noConversion"/>
  </si>
  <si>
    <t>研发费用在2019年之前大多数采用资本化的会计准则，之后采用费用化，因此2019年之前缺失率极高</t>
    <phoneticPr fontId="1" type="noConversion"/>
  </si>
  <si>
    <t>多空年化收益</t>
    <phoneticPr fontId="1" type="noConversion"/>
  </si>
  <si>
    <t>多头超额年化收益</t>
    <phoneticPr fontId="1" type="noConversion"/>
  </si>
  <si>
    <t>保留</t>
    <phoneticPr fontId="1" type="noConversion"/>
  </si>
  <si>
    <t>5倍MAD去极值，行业均值填充缺失值，市值行业中性化，缩放到[0,1]</t>
    <phoneticPr fontId="1" type="noConversion"/>
  </si>
  <si>
    <t>rep,gpp_q</t>
  </si>
  <si>
    <t>rep,ep_q</t>
  </si>
  <si>
    <t>bp,ep_q</t>
  </si>
  <si>
    <t>gpp_q,ep_q</t>
  </si>
  <si>
    <t>bp,gpp_q</t>
  </si>
  <si>
    <t>rep,gpp_q,ep_q</t>
  </si>
  <si>
    <t>rep,ep_q,rdp_q</t>
  </si>
  <si>
    <t>bp,gpp_q,ep_q</t>
  </si>
  <si>
    <t>bp,rep,ep_q</t>
  </si>
  <si>
    <t>bp,ep_q,rdp_q</t>
  </si>
  <si>
    <t>rep,gpp_q,ep_q,rdp_q</t>
  </si>
  <si>
    <t>bp,rep,gpp_q,ep_q</t>
  </si>
  <si>
    <t>rep,ep_q,ocfp_ttm,rdp_q</t>
  </si>
  <si>
    <t>bp,rep,ep_q,rdp_q</t>
  </si>
  <si>
    <t>rep,gpp_q,ep_q,ocfp_ttm</t>
    <phoneticPr fontId="1" type="noConversion"/>
  </si>
  <si>
    <t>20D</t>
    <phoneticPr fontId="1" type="noConversion"/>
  </si>
  <si>
    <t>total</t>
    <phoneticPr fontId="1" type="noConversion"/>
  </si>
  <si>
    <t>组合数</t>
    <phoneticPr fontId="1" type="noConversion"/>
  </si>
  <si>
    <t>baseline</t>
    <phoneticPr fontId="1" type="noConversion"/>
  </si>
  <si>
    <t>2）因子的时序衍生</t>
    <phoneticPr fontId="1" type="noConversion"/>
  </si>
  <si>
    <t>为了分离出与价格无关，仅分子端导致的变化，再将估值动量相对于同一阶段的反转回归求残差，得到纯净的估值动量</t>
    <phoneticPr fontId="1" type="noConversion"/>
  </si>
  <si>
    <t>衍生完成后，再对衍生变量行业均值填充、市值行业中性化，缩放到[0,1]</t>
    <phoneticPr fontId="1" type="noConversion"/>
  </si>
  <si>
    <r>
      <rPr>
        <b/>
        <sz val="11"/>
        <color theme="1"/>
        <rFont val="微软雅黑"/>
        <family val="2"/>
        <charset val="134"/>
      </rPr>
      <t>估值稳定：</t>
    </r>
    <r>
      <rPr>
        <sz val="11"/>
        <color theme="1"/>
        <rFont val="微软雅黑"/>
        <family val="2"/>
        <charset val="134"/>
      </rPr>
      <t>对于每支个股，计算回看N=12,24,36个月的均值、标准差，计算均值/标准差（MSR），越大说明股票估值越稳定、不易偏离中枢；这里取min_period=N//2，即对于N=12，要求过去12个月至少有6个月不为空</t>
    </r>
    <phoneticPr fontId="1" type="noConversion"/>
  </si>
  <si>
    <t>gpp_q_msr_12</t>
  </si>
  <si>
    <t>gpp_q_zs_12</t>
  </si>
  <si>
    <t>gpp_q_msr_24</t>
  </si>
  <si>
    <t>gpp_q_zs_24</t>
  </si>
  <si>
    <t>gpp_q_msr_36</t>
  </si>
  <si>
    <t>gpp_q_zs_36</t>
  </si>
  <si>
    <t>gpp_q_mom_3</t>
  </si>
  <si>
    <t>gpp_q_mom_3_pure</t>
  </si>
  <si>
    <t>gpp_q_mom_6</t>
  </si>
  <si>
    <t>gpp_q_mom_6_pure</t>
  </si>
  <si>
    <t>gpp_q_mom_12</t>
  </si>
  <si>
    <t>gpp_q_mom_12_pure</t>
  </si>
  <si>
    <t>估值稳定性</t>
    <phoneticPr fontId="1" type="noConversion"/>
  </si>
  <si>
    <t>估值</t>
    <phoneticPr fontId="1" type="noConversion"/>
  </si>
  <si>
    <t>当前低估</t>
    <phoneticPr fontId="1" type="noConversion"/>
  </si>
  <si>
    <t>估值动量</t>
    <phoneticPr fontId="1" type="noConversion"/>
  </si>
  <si>
    <t>纯净估值动量</t>
    <phoneticPr fontId="1" type="noConversion"/>
  </si>
  <si>
    <t>以单因子表现最强的gpp_q为例，衍生变量绩效如下，可见衍生变量也有一些区分度，特别是当前较自己低估，比起原始因子的稳定性、多头端更好</t>
    <phoneticPr fontId="1" type="noConversion"/>
  </si>
  <si>
    <t>另外，纯净估值动量的效果差于估值动量，这说明仅资产端的变化没有区分度，必须与价格的变化相结合才能解释未来收益，后文不再计算</t>
    <phoneticPr fontId="1" type="noConversion"/>
  </si>
  <si>
    <t>因子绩效如下，可见利润表、资产负债表的科目除了ocf以外，当季值在各维度上一般都好于TTM值，说明市场对财报的短期信息反应更充分，因此后面只对ocf保留TTM，其他科目保留当季值</t>
    <phoneticPr fontId="1" type="noConversion"/>
  </si>
  <si>
    <t>因子衍生的逻辑是：除了追求股票在当前横截面上便宜，还要追求历史上估值稳定、当前较历史水平更加低估、当前处于估值修复阶段</t>
    <phoneticPr fontId="1" type="noConversion"/>
  </si>
  <si>
    <r>
      <rPr>
        <b/>
        <sz val="11"/>
        <color theme="1"/>
        <rFont val="微软雅黑"/>
        <family val="2"/>
        <charset val="134"/>
      </rPr>
      <t>当前低估：</t>
    </r>
    <r>
      <rPr>
        <sz val="11"/>
        <color theme="1"/>
        <rFont val="微软雅黑"/>
        <family val="2"/>
        <charset val="134"/>
      </rPr>
      <t>同上，计算当前估值在回看N=12,24,36窗口的z-score，越大说明当前股票相对于自己更有价值，即更便宜</t>
    </r>
    <phoneticPr fontId="1" type="noConversion"/>
  </si>
  <si>
    <t>各因子的ic序列相关性如下，可见分红，研发费用市值比的独立性相对较好，资产、收益信息较冗余，复合经济学认知</t>
    <phoneticPr fontId="1" type="noConversion"/>
  </si>
  <si>
    <t>可见随着因子个数的增加，IC增量有限，但多头端改善还是比较显著，且多头改善组基本都包含rdp_q，说明研发费用结合其他维度确实更能选出跑赢大盘股票</t>
  </si>
  <si>
    <t>对上述因子集合取M=2，3，4个等权合成（遇到rd因子为空时，等权合成取mean，会忽略空值），各自取IC Top5组合</t>
    <phoneticPr fontId="1" type="noConversion"/>
  </si>
  <si>
    <t>市值放在分母端，是因为个股不同时点的分子可正可负，分母始终为正，保证了比值在经济学意义上是单调的（比值越大，则相同的钱买到了更多的价值，比值越小则相反，比值为负即买到的是负资产）</t>
    <phoneticPr fontId="1" type="noConversion"/>
  </si>
  <si>
    <t>另外，根据研报[1][2]，留存收益（retained earnings，未分配利润+盈余公积）、毛利润（gross profit，营业收入-营业成本）、研发费用（r&amp;d）比市值也均有不错的效果，分别计算REP、GPP、RDP</t>
    <phoneticPr fontId="1" type="noConversion"/>
  </si>
  <si>
    <t>gpp_q,gpp_q_zs_12</t>
  </si>
  <si>
    <t>gpp_q,gpp_q_zs_24</t>
  </si>
  <si>
    <t>gpp_q,gpp_q_zs_36</t>
  </si>
  <si>
    <t>gpp_q,gpp_q_mom_3</t>
  </si>
  <si>
    <t>gpp_q,gpp_q_mom_12</t>
  </si>
  <si>
    <t>gpp_q,gpp_q_msr_12,gpp_q_zs_12</t>
  </si>
  <si>
    <t>gpp_q,gpp_q_msr_24,gpp_q_zs_12</t>
  </si>
  <si>
    <t>gpp_q,gpp_q_msr_24,gpp_q_zs_24</t>
  </si>
  <si>
    <t>gpp_q,gpp_q_msr_36,gpp_q_zs_12</t>
  </si>
  <si>
    <t>gpp_q,gpp_q_msr_36,gpp_q_zs_24</t>
  </si>
  <si>
    <t>gpp_q,gpp_q_msr_24,gpp_q_zs_24,gpp_q_mom_3</t>
  </si>
  <si>
    <t>gpp_q,gpp_q_msr_12,gpp_q_zs_24,gpp_q_mom_3</t>
  </si>
  <si>
    <t>gpp_q,gpp_q_msr_36,gpp_q_zs_24,gpp_q_mom_3</t>
  </si>
  <si>
    <t>gpp_q,gpp_q_msr_24,gpp_q_zs_36,gpp_q_mom_3</t>
  </si>
  <si>
    <t>gpp_q,gpp_q_msr_36,gpp_q_zs_36,gpp_q_mom_3</t>
  </si>
  <si>
    <t>从估值、估值稳定性、当前低估、估值动量四个bin里各自取一个因子，进行两两、三三、四四组合，每个取IC Top5</t>
    <phoneticPr fontId="1" type="noConversion"/>
  </si>
  <si>
    <t>gpp_q</t>
    <phoneticPr fontId="1" type="noConversion"/>
  </si>
  <si>
    <t>将gpp_q、gpp_q_zs_12等权合成作为改良gp因子，改良前后对比如下，无论在稳定性还是多头端都有显著提升</t>
    <phoneticPr fontId="1" type="noConversion"/>
  </si>
  <si>
    <t>按照同样的方式，对于其他估值因子进行改良，过程省略，结果如下</t>
    <phoneticPr fontId="1" type="noConversion"/>
  </si>
  <si>
    <t>bp、bp_msr_12、bp_zs_12等权合成</t>
    <phoneticPr fontId="1" type="noConversion"/>
  </si>
  <si>
    <t>rep、rep_msr_12、rep_mom_3等权合成</t>
    <phoneticPr fontId="1" type="noConversion"/>
  </si>
  <si>
    <t>ep_q、ep_q_zs_12等权合成</t>
    <phoneticPr fontId="1" type="noConversion"/>
  </si>
  <si>
    <t>sp_q、sp_q_zs_12等权合成</t>
    <phoneticPr fontId="1" type="noConversion"/>
  </si>
  <si>
    <t>改良bp</t>
    <phoneticPr fontId="1" type="noConversion"/>
  </si>
  <si>
    <t>改良gp</t>
    <phoneticPr fontId="1" type="noConversion"/>
  </si>
  <si>
    <t>改良rep</t>
    <phoneticPr fontId="1" type="noConversion"/>
  </si>
  <si>
    <t>改良sp</t>
    <phoneticPr fontId="1" type="noConversion"/>
  </si>
  <si>
    <t>改良ep</t>
    <phoneticPr fontId="1" type="noConversion"/>
  </si>
  <si>
    <t>权衡简单性和表现，取rep,ep_q,rdp_q等权合成作为baseline，即相同价格下留存收益、净利润、研发费用均高的股票更能跑赢大盘</t>
    <phoneticPr fontId="1" type="noConversion"/>
  </si>
  <si>
    <r>
      <rPr>
        <b/>
        <sz val="11"/>
        <color theme="1"/>
        <rFont val="微软雅黑"/>
        <family val="2"/>
        <charset val="134"/>
      </rPr>
      <t>估值动量：</t>
    </r>
    <r>
      <rPr>
        <sz val="11"/>
        <color theme="1"/>
        <rFont val="微软雅黑"/>
        <family val="2"/>
        <charset val="134"/>
      </rPr>
      <t>计算当前估值的N=3,6,12个月的动量（pct_change），越大说明短期价值上涨，这可能是由于资产增长或者价格下跌，未来更有可能修复</t>
    </r>
    <phoneticPr fontId="1" type="noConversion"/>
  </si>
  <si>
    <t>由于估值的动量受分子、分母变化同时影响，分母的变化效应≈反转，例如BP近3个月上涨了20%，但同一阶段，价格下跌了10%（动量=-10%，反转=10%），那么仅分子端净资产增长的贡献大约只有10%</t>
    <phoneticPr fontId="1" type="noConversion"/>
  </si>
  <si>
    <t>组合绩效如下，可见两两组合基本就能达到上限，再多了信息冗余、增益不大</t>
    <phoneticPr fontId="1" type="noConversion"/>
  </si>
  <si>
    <t>所有改良后估值因子</t>
    <phoneticPr fontId="1" type="noConversion"/>
  </si>
  <si>
    <t>4）取每个自然月个股最后一个交易日的总市值，作为分母</t>
    <phoneticPr fontId="1" type="noConversion"/>
  </si>
  <si>
    <t>采用2019年及以前不填充，2019年以后行业均值填充的方式，不稀释因子的表达能力，对未来兼容</t>
    <phoneticPr fontId="1" type="noConversion"/>
  </si>
  <si>
    <t>bp_msr_12</t>
  </si>
  <si>
    <t>bp_zs_12</t>
  </si>
  <si>
    <t>bp_msr_24</t>
  </si>
  <si>
    <t>bp_zs_24</t>
  </si>
  <si>
    <t>bp_msr_36</t>
  </si>
  <si>
    <t>bp_zs_36</t>
  </si>
  <si>
    <t>rep_msr_12</t>
  </si>
  <si>
    <t>rep_zs_12</t>
  </si>
  <si>
    <t>rep_msr_24</t>
  </si>
  <si>
    <t>rep_zs_24</t>
  </si>
  <si>
    <t>rep_msr_36</t>
  </si>
  <si>
    <t>rep_zs_36</t>
  </si>
  <si>
    <t>sp_q_msr_12</t>
  </si>
  <si>
    <t>sp_q_zs_12</t>
  </si>
  <si>
    <t>sp_q_msr_24</t>
  </si>
  <si>
    <t>sp_q_zs_24</t>
  </si>
  <si>
    <t>sp_q_msr_36</t>
  </si>
  <si>
    <t>sp_q_zs_36</t>
  </si>
  <si>
    <t>ep_q_msr_12</t>
  </si>
  <si>
    <t>ep_q_zs_12</t>
  </si>
  <si>
    <t>ep_q_msr_24</t>
  </si>
  <si>
    <t>ep_q_zs_24</t>
  </si>
  <si>
    <t>ep_q_msr_36</t>
  </si>
  <si>
    <t>ep_q_zs_36</t>
  </si>
  <si>
    <t>ocfp_ttm_msr_12</t>
  </si>
  <si>
    <t>ocfp_ttm_zs_12</t>
  </si>
  <si>
    <t>ocfp_ttm_msr_24</t>
  </si>
  <si>
    <t>ocfp_ttm_zs_24</t>
  </si>
  <si>
    <t>ocfp_ttm_msr_36</t>
  </si>
  <si>
    <t>ocfp_ttm_zs_36</t>
  </si>
  <si>
    <t>divp_ttm_msr_12</t>
  </si>
  <si>
    <t>divp_ttm_zs_12</t>
  </si>
  <si>
    <t>divp_ttm_msr_24</t>
  </si>
  <si>
    <t>divp_ttm_zs_24</t>
  </si>
  <si>
    <t>divp_ttm_msr_36</t>
  </si>
  <si>
    <t>divp_ttm_zs_36</t>
  </si>
  <si>
    <t>rdp_q_msr_12</t>
  </si>
  <si>
    <t>rdp_q_zs_12</t>
  </si>
  <si>
    <t>rdp_q_msr_24</t>
  </si>
  <si>
    <t>rdp_q_zs_24</t>
  </si>
  <si>
    <t>rdp_q_msr_36</t>
  </si>
  <si>
    <t>rdp_q_zs_36</t>
  </si>
  <si>
    <t>bp_mom_3</t>
  </si>
  <si>
    <t>bp_mom_6</t>
  </si>
  <si>
    <t>bp_mom_12</t>
  </si>
  <si>
    <t>rep_mom_3</t>
  </si>
  <si>
    <t>rep_mom_6</t>
  </si>
  <si>
    <t>rep_mom_12</t>
  </si>
  <si>
    <t>sp_q_mom_3</t>
  </si>
  <si>
    <t>sp_q_mom_6</t>
  </si>
  <si>
    <t>sp_q_mom_12</t>
  </si>
  <si>
    <t>ep_q_mom_3</t>
  </si>
  <si>
    <t>ep_q_mom_6</t>
  </si>
  <si>
    <t>ep_q_mom_12</t>
  </si>
  <si>
    <t>ocfp_ttm_mom_3</t>
  </si>
  <si>
    <t>ocfp_ttm_mom_6</t>
  </si>
  <si>
    <t>ocfp_ttm_mom_12</t>
  </si>
  <si>
    <t>divp_ttm_mom_3</t>
  </si>
  <si>
    <t>divp_ttm_mom_6</t>
  </si>
  <si>
    <t>divp_ttm_mom_12</t>
  </si>
  <si>
    <t>rdp_q_mom_3</t>
  </si>
  <si>
    <t>rdp_q_mom_6</t>
  </si>
  <si>
    <t>rdp_q_mom_12</t>
  </si>
  <si>
    <t>rdp_q</t>
    <phoneticPr fontId="1" type="noConversion"/>
  </si>
  <si>
    <t>ocfp_ttm、divp_ttm、rdp_q改良效果微弱，只保留原始值</t>
    <phoneticPr fontId="1" type="noConversion"/>
  </si>
  <si>
    <t>改良rep,改良gpp</t>
  </si>
  <si>
    <t>改良rep,改良ep</t>
  </si>
  <si>
    <t>改良bp,改良gpp</t>
  </si>
  <si>
    <t>改良bp,改良ep</t>
  </si>
  <si>
    <t>改良rep,改良sp</t>
  </si>
  <si>
    <t>改良bp,改良rep,改良gpp</t>
  </si>
  <si>
    <t>改良bp,改良rep,改良ep</t>
  </si>
  <si>
    <t>改良rep,改良gpp,改良ep</t>
  </si>
  <si>
    <t>改良bp,改良gpp,改良ep</t>
  </si>
  <si>
    <t>改良rep,改良sp,改良ep</t>
  </si>
  <si>
    <t>改良bp,改良rep,改良gpp,改良ep</t>
  </si>
  <si>
    <t>改良bp,改良rep,改良ep,rdp_q</t>
  </si>
  <si>
    <t>改良bp,改良rep,改良sp,改良ep</t>
  </si>
  <si>
    <t>改良rep,改良gpp,改良ep,rdp_q</t>
  </si>
  <si>
    <t>改良bp,改良rep,改良gpp,ocfp_ttm</t>
  </si>
  <si>
    <t>再对上述因子进行两两、三三、四四组合，取IC Top5，从简单性上考虑，改良rep与gpp的等权组合已经能达到不错的效果，保留为最终的改良估值因子</t>
    <phoneticPr fontId="1" type="noConversion"/>
  </si>
  <si>
    <t>baseline估值因子</t>
    <phoneticPr fontId="1" type="noConversion"/>
  </si>
  <si>
    <t>改良估值因子</t>
    <phoneticPr fontId="1" type="noConversion"/>
  </si>
  <si>
    <t>1.沪深300</t>
  </si>
  <si>
    <t>2.中证500</t>
  </si>
  <si>
    <t>3.中证1000</t>
  </si>
  <si>
    <t>4.其他</t>
  </si>
  <si>
    <t>baseline与改良估值因子对比如下，主要的增益是稳定性显著提升</t>
    <phoneticPr fontId="1" type="noConversion"/>
  </si>
  <si>
    <t>传统估值因子如bp、ep等在A股已有一些区分度，本文通过对因子进行时序上衍生，构造稳定性、zscore、动量等指标，再等权合成的方式，对估值因子进行改良，RankIC=7.2%，年化RankICIR=3.62，月胜率=83%</t>
    <phoneticPr fontId="1" type="noConversion"/>
  </si>
  <si>
    <t>by月的IC分布，每到10月份胜率较低，原因尚不清楚</t>
    <phoneticPr fontId="1" type="noConversion"/>
  </si>
  <si>
    <t>说明市场有效性开始增加，单一的低估值策略不再能取得稳定超额收益，需要结合其他策略</t>
    <phoneticPr fontId="1" type="noConversion"/>
  </si>
  <si>
    <t>top800以外分组累计收益率和多空累计收益率，可见多空组合收益率始终向上，但是相比起21年以前的一根直线，21年之后抖动明显增加</t>
    <phoneticPr fontId="1" type="noConversion"/>
  </si>
  <si>
    <t>参考资料</t>
    <phoneticPr fontId="1" type="noConversion"/>
  </si>
  <si>
    <t>1、2025-01-08_华泰证券_金工深度_如何使价值因子更具“价值”？</t>
    <phoneticPr fontId="1" type="noConversion"/>
  </si>
  <si>
    <t>2、2019-03-25_国盛证券_金融工程_多因子系列之四：对价值因子的思考和改进</t>
    <phoneticPr fontId="1" type="noConversion"/>
  </si>
  <si>
    <t>10分组收益基本单调，但是top组收益的标准差较大，需要结合其他主题的因子筛掉低估值但是继续下跌的股票（伪价值）</t>
    <phoneticPr fontId="1" type="noConversion"/>
  </si>
  <si>
    <t>分股票池绩效如下，可见越是小盘股，估值因子的区分度越好，top800效果一般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</si>
</sst>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0.0%"/>
  </numFmts>
  <fonts count="2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left"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0" xfId="0" applyFont="1" applyFill="1" applyBorder="1">
      <alignment vertical="center"/>
    </xf>
    <xf numFmtId="0" fontId="2" fillId="2" borderId="10" xfId="0" applyFont="1" applyFill="1" applyBorder="1" applyAlignment="1">
      <alignment horizontal="left" vertical="center"/>
    </xf>
    <xf numFmtId="9" fontId="2" fillId="2" borderId="0" xfId="2" applyFont="1" applyFill="1">
      <alignment vertical="center"/>
    </xf>
    <xf numFmtId="176" fontId="2" fillId="2" borderId="0" xfId="2" applyNumberFormat="1" applyFont="1" applyFill="1">
      <alignment vertical="center"/>
    </xf>
    <xf numFmtId="176" fontId="2" fillId="2" borderId="0" xfId="2" applyNumberFormat="1" applyFont="1" applyFill="1" applyAlignment="1">
      <alignment horizontal="left" vertical="center"/>
    </xf>
    <xf numFmtId="43" fontId="2" fillId="2" borderId="0" xfId="1" applyFont="1" applyFill="1">
      <alignment vertical="center"/>
    </xf>
    <xf numFmtId="176" fontId="2" fillId="2" borderId="11" xfId="2" applyNumberFormat="1" applyFont="1" applyFill="1" applyBorder="1">
      <alignment vertical="center"/>
    </xf>
    <xf numFmtId="43" fontId="2" fillId="2" borderId="11" xfId="1" applyFont="1" applyFill="1" applyBorder="1">
      <alignment vertical="center"/>
    </xf>
    <xf numFmtId="9" fontId="2" fillId="2" borderId="11" xfId="2" applyFont="1" applyFill="1" applyBorder="1">
      <alignment vertical="center"/>
    </xf>
    <xf numFmtId="176" fontId="2" fillId="2" borderId="0" xfId="2" applyNumberFormat="1" applyFont="1" applyFill="1" applyBorder="1">
      <alignment vertical="center"/>
    </xf>
    <xf numFmtId="43" fontId="2" fillId="2" borderId="0" xfId="1" applyFont="1" applyFill="1" applyBorder="1">
      <alignment vertical="center"/>
    </xf>
    <xf numFmtId="9" fontId="2" fillId="2" borderId="0" xfId="2" applyFont="1" applyFill="1" applyBorder="1">
      <alignment vertical="center"/>
    </xf>
    <xf numFmtId="176" fontId="2" fillId="2" borderId="12" xfId="2" applyNumberFormat="1" applyFont="1" applyFill="1" applyBorder="1">
      <alignment vertical="center"/>
    </xf>
    <xf numFmtId="43" fontId="2" fillId="2" borderId="12" xfId="1" applyFont="1" applyFill="1" applyBorder="1">
      <alignment vertical="center"/>
    </xf>
    <xf numFmtId="9" fontId="2" fillId="2" borderId="12" xfId="2" applyFont="1" applyFill="1" applyBorder="1">
      <alignment vertical="center"/>
    </xf>
    <xf numFmtId="176" fontId="2" fillId="2" borderId="10" xfId="2" applyNumberFormat="1" applyFont="1" applyFill="1" applyBorder="1">
      <alignment vertical="center"/>
    </xf>
    <xf numFmtId="43" fontId="2" fillId="2" borderId="10" xfId="1" applyFont="1" applyFill="1" applyBorder="1">
      <alignment vertical="center"/>
    </xf>
    <xf numFmtId="9" fontId="2" fillId="2" borderId="10" xfId="2" applyFont="1" applyFill="1" applyBorder="1">
      <alignment vertical="center"/>
    </xf>
    <xf numFmtId="0" fontId="0" fillId="2" borderId="0" xfId="0" applyFill="1">
      <alignment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</cellXfs>
  <cellStyles count="44">
    <cellStyle name="20% - 着色 1" xfId="21" builtinId="30" customBuiltin="1"/>
    <cellStyle name="20% - 着色 2" xfId="25" builtinId="34" customBuiltin="1"/>
    <cellStyle name="20% - 着色 3" xfId="29" builtinId="38" customBuiltin="1"/>
    <cellStyle name="20% - 着色 4" xfId="33" builtinId="42" customBuiltin="1"/>
    <cellStyle name="20% - 着色 5" xfId="37" builtinId="46" customBuiltin="1"/>
    <cellStyle name="20% - 着色 6" xfId="41" builtinId="50" customBuiltin="1"/>
    <cellStyle name="40% - 着色 1" xfId="22" builtinId="31" customBuiltin="1"/>
    <cellStyle name="40% - 着色 2" xfId="26" builtinId="35" customBuiltin="1"/>
    <cellStyle name="40% - 着色 3" xfId="30" builtinId="39" customBuiltin="1"/>
    <cellStyle name="40% - 着色 4" xfId="34" builtinId="43" customBuiltin="1"/>
    <cellStyle name="40% - 着色 5" xfId="38" builtinId="47" customBuiltin="1"/>
    <cellStyle name="40% - 着色 6" xfId="42" builtinId="51" customBuiltin="1"/>
    <cellStyle name="60% - 着色 1" xfId="23" builtinId="32" customBuiltin="1"/>
    <cellStyle name="60% - 着色 2" xfId="27" builtinId="36" customBuiltin="1"/>
    <cellStyle name="60% - 着色 3" xfId="31" builtinId="40" customBuiltin="1"/>
    <cellStyle name="60% - 着色 4" xfId="35" builtinId="44" customBuiltin="1"/>
    <cellStyle name="60% - 着色 5" xfId="39" builtinId="48" customBuiltin="1"/>
    <cellStyle name="60% - 着色 6" xfId="43" builtinId="52" customBuiltin="1"/>
    <cellStyle name="百分比" xfId="2" builtinId="5"/>
    <cellStyle name="标题" xfId="3" builtinId="15" customBuiltin="1"/>
    <cellStyle name="标题 1" xfId="4" builtinId="16" customBuiltin="1"/>
    <cellStyle name="标题 2" xfId="5" builtinId="17" customBuiltin="1"/>
    <cellStyle name="标题 3" xfId="6" builtinId="18" customBuiltin="1"/>
    <cellStyle name="标题 4" xfId="7" builtinId="19" customBuiltin="1"/>
    <cellStyle name="差" xfId="9" builtinId="27" customBuiltin="1"/>
    <cellStyle name="常规" xfId="0" builtinId="0"/>
    <cellStyle name="好" xfId="8" builtinId="26" customBuiltin="1"/>
    <cellStyle name="汇总" xfId="19" builtinId="25" customBuiltin="1"/>
    <cellStyle name="计算" xfId="13" builtinId="22" customBuiltin="1"/>
    <cellStyle name="检查单元格" xfId="15" builtinId="23" customBuiltin="1"/>
    <cellStyle name="解释性文本" xfId="18" builtinId="53" customBuiltin="1"/>
    <cellStyle name="警告文本" xfId="16" builtinId="11" customBuiltin="1"/>
    <cellStyle name="链接单元格" xfId="14" builtinId="24" customBuiltin="1"/>
    <cellStyle name="千位分隔" xfId="1" builtinId="3"/>
    <cellStyle name="适中" xfId="10" builtinId="28" customBuiltin="1"/>
    <cellStyle name="输出" xfId="12" builtinId="21" customBuiltin="1"/>
    <cellStyle name="输入" xfId="11" builtinId="20" customBuiltin="1"/>
    <cellStyle name="着色 1" xfId="20" builtinId="29" customBuiltin="1"/>
    <cellStyle name="着色 2" xfId="24" builtinId="33" customBuiltin="1"/>
    <cellStyle name="着色 3" xfId="28" builtinId="37" customBuiltin="1"/>
    <cellStyle name="着色 4" xfId="32" builtinId="41" customBuiltin="1"/>
    <cellStyle name="着色 5" xfId="36" builtinId="45" customBuiltin="1"/>
    <cellStyle name="着色 6" xfId="40" builtinId="49" customBuiltin="1"/>
    <cellStyle name="注释" xfId="17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118</xdr:row>
      <xdr:rowOff>0</xdr:rowOff>
    </xdr:from>
    <xdr:to>
      <xdr:col>9</xdr:col>
      <xdr:colOff>139700</xdr:colOff>
      <xdr:row>128</xdr:row>
      <xdr:rowOff>71893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24E76CC-5CE4-C13A-8E04-C9F11A92D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401" y="24726900"/>
          <a:ext cx="7378699" cy="21673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216</xdr:row>
      <xdr:rowOff>1</xdr:rowOff>
    </xdr:from>
    <xdr:to>
      <xdr:col>11</xdr:col>
      <xdr:colOff>802821</xdr:colOff>
      <xdr:row>233</xdr:row>
      <xdr:rowOff>195246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B572925-9111-5824-176E-9BB705F6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2214" y="44858215"/>
          <a:ext cx="9715500" cy="37421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11</xdr:col>
      <xdr:colOff>641121</xdr:colOff>
      <xdr:row>251</xdr:row>
      <xdr:rowOff>154215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840BAFE-34A1-4612-9A45-B3C8EBDDB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2214" y="48613786"/>
          <a:ext cx="9553800" cy="3701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6</xdr:col>
      <xdr:colOff>320738</xdr:colOff>
      <xdr:row>303</xdr:row>
      <xdr:rowOff>82550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F42B8039-84D7-18D9-CA7C-4BD97F32C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59931300"/>
          <a:ext cx="4975288" cy="3644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286</xdr:row>
      <xdr:rowOff>0</xdr:rowOff>
    </xdr:from>
    <xdr:to>
      <xdr:col>12</xdr:col>
      <xdr:colOff>584200</xdr:colOff>
      <xdr:row>302</xdr:row>
      <xdr:rowOff>209385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AEC3BEB-BD4D-F9F5-C05D-349FB280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92800" y="59931300"/>
          <a:ext cx="4864100" cy="3562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7</xdr:col>
      <xdr:colOff>114300</xdr:colOff>
      <xdr:row>274</xdr:row>
      <xdr:rowOff>136787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595AD4DA-1A17-4E36-A8C7-907F01A9E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0400" y="53016150"/>
          <a:ext cx="5562600" cy="453733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Lenovo\Documents\Quant\hyc_quant_project\research\&#25913;&#33391;&#20272;&#20540;&#22240;&#233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Excel.Sheet.12">
    <oleItems>
      <mc:AlternateContent xmlns:mc="http://schemas.openxmlformats.org/markup-compatibility/2006">
        <mc:Choice Requires="x14">
          <x14:oleItem name="!Summary!R55C5:R55C12" advise="1">
            <x14:values cols="8">
              <value>
                <val>3.5237999999999998E-2</val>
              </value>
              <value>
                <val>2.2978000000000001</val>
              </value>
              <value>
                <val>0.793103</val>
              </value>
              <value>
                <val>0.78181800000000001</val>
              </value>
              <value>
                <val>0.14169699999999999</val>
              </value>
              <value>
                <val>1.7446280000000001</val>
              </value>
              <value>
                <val>0.10235900000000001</val>
              </value>
              <value>
                <val>1.7131320000000001</val>
              </value>
            </x14:values>
          </x14:oleItem>
        </mc:Choice>
        <mc:Fallback>
          <oleItem name="!Summary!R55C5:R55C12" advise="1"/>
        </mc:Fallback>
      </mc:AlternateContent>
    </oleItems>
  </oleLin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3F16-C093-4269-8A00-2BCE07FF711C}">
  <dimension ref="B2:O308"/>
  <sheetViews>
    <sheetView tabSelected="1" topLeftCell="A276" zoomScaleNormal="100" workbookViewId="0">
      <selection activeCell="N287" sqref="N287"/>
    </sheetView>
  </sheetViews>
  <sheetFormatPr defaultRowHeight="16.5" x14ac:dyDescent="0.3"/>
  <cols>
    <col min="1" max="1" width="8.6640625" style="1"/>
    <col min="2" max="2" width="13.58203125" style="1" customWidth="1"/>
    <col min="3" max="3" width="14.75" style="1" customWidth="1"/>
    <col min="4" max="4" width="8.6640625" style="1"/>
    <col min="5" max="5" width="11.1640625" style="1" bestFit="1" customWidth="1"/>
    <col min="6" max="6" width="12.9140625" style="1" bestFit="1" customWidth="1"/>
    <col min="7" max="7" width="10.4140625" style="1" bestFit="1" customWidth="1"/>
    <col min="8" max="8" width="10" style="1" bestFit="1" customWidth="1"/>
    <col min="9" max="9" width="13.5" style="1" customWidth="1"/>
    <col min="10" max="10" width="10.5" style="1" customWidth="1"/>
    <col min="11" max="11" width="11.4140625" style="1" customWidth="1"/>
    <col min="12" max="12" width="10.75" style="1" customWidth="1"/>
    <col min="13" max="16384" width="8.6640625" style="1"/>
  </cols>
  <sheetData>
    <row r="2" spans="2:12" x14ac:dyDescent="0.3">
      <c r="B2" s="2" t="s">
        <v>0</v>
      </c>
    </row>
    <row r="3" spans="2:12" x14ac:dyDescent="0.3">
      <c r="B3" s="1" t="s">
        <v>221</v>
      </c>
    </row>
    <row r="4" spans="2:12" x14ac:dyDescent="0.3">
      <c r="B4" s="5" t="s">
        <v>36</v>
      </c>
      <c r="C4" s="5" t="s">
        <v>31</v>
      </c>
      <c r="D4" s="5" t="s">
        <v>4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44</v>
      </c>
      <c r="J4" s="5" t="s">
        <v>41</v>
      </c>
      <c r="K4" s="5" t="s">
        <v>45</v>
      </c>
      <c r="L4" s="5" t="s">
        <v>42</v>
      </c>
    </row>
    <row r="5" spans="2:12" x14ac:dyDescent="0.3">
      <c r="B5" s="1" t="s">
        <v>215</v>
      </c>
      <c r="C5" s="1" t="s">
        <v>34</v>
      </c>
      <c r="D5" s="1" t="s">
        <v>35</v>
      </c>
      <c r="E5" s="16">
        <v>7.2222999999999996E-2</v>
      </c>
      <c r="F5" s="17">
        <v>3.6189439999999999</v>
      </c>
      <c r="G5" s="18">
        <v>0.83333299999999999</v>
      </c>
      <c r="H5" s="17">
        <v>0.98787899999999995</v>
      </c>
      <c r="I5" s="16">
        <v>0.17166400000000001</v>
      </c>
      <c r="J5" s="17">
        <v>1.656768</v>
      </c>
      <c r="K5" s="16">
        <v>6.5673999999999996E-2</v>
      </c>
      <c r="L5" s="17">
        <v>1.078325</v>
      </c>
    </row>
    <row r="6" spans="2:12" x14ac:dyDescent="0.3">
      <c r="E6" s="16"/>
      <c r="F6" s="17"/>
      <c r="G6" s="18"/>
      <c r="H6" s="17"/>
      <c r="I6" s="16"/>
      <c r="J6" s="17"/>
      <c r="K6" s="16"/>
      <c r="L6" s="17"/>
    </row>
    <row r="7" spans="2:12" x14ac:dyDescent="0.3">
      <c r="B7" s="2" t="s">
        <v>1</v>
      </c>
    </row>
    <row r="8" spans="2:12" x14ac:dyDescent="0.3">
      <c r="B8" s="1" t="s">
        <v>8</v>
      </c>
    </row>
    <row r="9" spans="2:12" x14ac:dyDescent="0.3">
      <c r="B9" s="1" t="s">
        <v>11</v>
      </c>
    </row>
    <row r="10" spans="2:12" x14ac:dyDescent="0.3">
      <c r="B10" s="1" t="s">
        <v>2</v>
      </c>
    </row>
    <row r="11" spans="2:12" x14ac:dyDescent="0.3">
      <c r="B11" s="1" t="s">
        <v>10</v>
      </c>
    </row>
    <row r="12" spans="2:12" x14ac:dyDescent="0.3">
      <c r="B12" s="1" t="s">
        <v>131</v>
      </c>
    </row>
    <row r="14" spans="2:12" x14ac:dyDescent="0.3">
      <c r="B14" s="1" t="s">
        <v>3</v>
      </c>
    </row>
    <row r="15" spans="2:12" x14ac:dyDescent="0.3">
      <c r="B15" s="4" t="s">
        <v>4</v>
      </c>
      <c r="C15" s="26" t="s">
        <v>14</v>
      </c>
      <c r="D15" s="26"/>
      <c r="E15" s="26"/>
      <c r="F15" s="26"/>
      <c r="G15" s="26"/>
      <c r="H15" s="26"/>
      <c r="I15" s="26"/>
      <c r="J15" s="26"/>
      <c r="K15" s="26"/>
      <c r="L15" s="26"/>
    </row>
    <row r="16" spans="2:12" x14ac:dyDescent="0.3">
      <c r="B16" s="4" t="s">
        <v>5</v>
      </c>
      <c r="C16" s="26" t="s">
        <v>32</v>
      </c>
      <c r="D16" s="26"/>
      <c r="E16" s="26"/>
      <c r="F16" s="26"/>
      <c r="G16" s="26"/>
      <c r="H16" s="26"/>
      <c r="I16" s="26"/>
      <c r="J16" s="26"/>
      <c r="K16" s="26"/>
      <c r="L16" s="26"/>
    </row>
    <row r="17" spans="2:15" x14ac:dyDescent="0.3">
      <c r="B17" s="4" t="s">
        <v>6</v>
      </c>
      <c r="C17" s="26" t="s">
        <v>47</v>
      </c>
      <c r="D17" s="26"/>
      <c r="E17" s="26"/>
      <c r="F17" s="26"/>
      <c r="G17" s="26"/>
      <c r="H17" s="26"/>
      <c r="I17" s="26"/>
      <c r="J17" s="26"/>
      <c r="K17" s="26"/>
      <c r="L17" s="26"/>
    </row>
    <row r="18" spans="2:15" x14ac:dyDescent="0.3">
      <c r="B18" s="7" t="s">
        <v>7</v>
      </c>
      <c r="C18" s="27" t="s">
        <v>33</v>
      </c>
      <c r="D18" s="27"/>
      <c r="E18" s="27"/>
      <c r="F18" s="27"/>
      <c r="G18" s="27"/>
      <c r="H18" s="27"/>
      <c r="I18" s="27"/>
      <c r="J18" s="27"/>
      <c r="K18" s="27"/>
      <c r="L18" s="27"/>
    </row>
    <row r="20" spans="2:15" x14ac:dyDescent="0.3">
      <c r="B20" s="2" t="s">
        <v>9</v>
      </c>
    </row>
    <row r="21" spans="2:15" x14ac:dyDescent="0.3">
      <c r="B21" s="1" t="s">
        <v>15</v>
      </c>
    </row>
    <row r="22" spans="2:15" x14ac:dyDescent="0.3">
      <c r="B22" s="1" t="s">
        <v>12</v>
      </c>
    </row>
    <row r="23" spans="2:15" x14ac:dyDescent="0.3">
      <c r="B23" s="1" t="s">
        <v>96</v>
      </c>
    </row>
    <row r="24" spans="2:15" x14ac:dyDescent="0.3">
      <c r="B24" s="1" t="s">
        <v>97</v>
      </c>
    </row>
    <row r="25" spans="2:15" x14ac:dyDescent="0.3">
      <c r="B25" s="1" t="s">
        <v>13</v>
      </c>
    </row>
    <row r="27" spans="2:15" x14ac:dyDescent="0.3">
      <c r="B27" s="1" t="s">
        <v>30</v>
      </c>
    </row>
    <row r="28" spans="2:15" x14ac:dyDescent="0.3">
      <c r="B28" s="1" t="s">
        <v>43</v>
      </c>
    </row>
    <row r="29" spans="2:15" x14ac:dyDescent="0.3">
      <c r="B29" s="1" t="s">
        <v>132</v>
      </c>
    </row>
    <row r="30" spans="2:15" x14ac:dyDescent="0.3">
      <c r="B30" s="6" t="s">
        <v>29</v>
      </c>
      <c r="C30" s="6" t="s">
        <v>16</v>
      </c>
      <c r="D30" s="6" t="s">
        <v>17</v>
      </c>
      <c r="E30" s="6" t="s">
        <v>18</v>
      </c>
      <c r="F30" s="6" t="s">
        <v>19</v>
      </c>
      <c r="G30" s="6" t="s">
        <v>20</v>
      </c>
      <c r="H30" s="6" t="s">
        <v>21</v>
      </c>
      <c r="I30" s="6" t="s">
        <v>22</v>
      </c>
      <c r="J30" s="6" t="s">
        <v>23</v>
      </c>
      <c r="K30" s="6" t="s">
        <v>24</v>
      </c>
      <c r="L30" s="6" t="s">
        <v>25</v>
      </c>
      <c r="M30" s="6" t="s">
        <v>26</v>
      </c>
      <c r="N30" s="6" t="s">
        <v>27</v>
      </c>
      <c r="O30" s="6" t="s">
        <v>28</v>
      </c>
    </row>
    <row r="31" spans="2:15" x14ac:dyDescent="0.3">
      <c r="B31" s="3">
        <v>2016</v>
      </c>
      <c r="C31" s="11">
        <v>4.0900000000000002E-4</v>
      </c>
      <c r="D31" s="11">
        <v>0</v>
      </c>
      <c r="E31" s="11">
        <v>4.0900000000000002E-4</v>
      </c>
      <c r="F31" s="11">
        <v>1.0304000000000001E-2</v>
      </c>
      <c r="G31" s="11">
        <v>0</v>
      </c>
      <c r="H31" s="11">
        <v>6.3119999999999999E-3</v>
      </c>
      <c r="I31" s="11">
        <v>4.0900000000000002E-4</v>
      </c>
      <c r="J31" s="11">
        <v>1.0304000000000001E-2</v>
      </c>
      <c r="K31" s="11">
        <v>4.0900000000000002E-4</v>
      </c>
      <c r="L31" s="11">
        <v>6.9259999999999999E-3</v>
      </c>
      <c r="M31" s="11">
        <v>0.99962499999999999</v>
      </c>
      <c r="N31" s="11">
        <v>0.99962499999999999</v>
      </c>
      <c r="O31" s="11">
        <v>0</v>
      </c>
    </row>
    <row r="32" spans="2:15" x14ac:dyDescent="0.3">
      <c r="B32" s="3">
        <v>2017</v>
      </c>
      <c r="C32" s="11">
        <v>3.8400000000000001E-4</v>
      </c>
      <c r="D32" s="11">
        <v>0</v>
      </c>
      <c r="E32" s="11">
        <v>3.8400000000000001E-4</v>
      </c>
      <c r="F32" s="11">
        <v>4.6680000000000003E-3</v>
      </c>
      <c r="G32" s="11">
        <v>0</v>
      </c>
      <c r="H32" s="11">
        <v>1.1509999999999999E-3</v>
      </c>
      <c r="I32" s="11">
        <v>3.8400000000000001E-4</v>
      </c>
      <c r="J32" s="11">
        <v>4.6680000000000003E-3</v>
      </c>
      <c r="K32" s="11">
        <v>3.8400000000000001E-4</v>
      </c>
      <c r="L32" s="11">
        <v>2.0140000000000002E-3</v>
      </c>
      <c r="M32" s="11">
        <v>0.99961599999999995</v>
      </c>
      <c r="N32" s="11">
        <v>0.99961599999999995</v>
      </c>
      <c r="O32" s="11">
        <v>0</v>
      </c>
    </row>
    <row r="33" spans="2:15" x14ac:dyDescent="0.3">
      <c r="B33" s="3">
        <v>2018</v>
      </c>
      <c r="C33" s="11">
        <v>1.92E-4</v>
      </c>
      <c r="D33" s="11">
        <v>0</v>
      </c>
      <c r="E33" s="11">
        <v>8.2000000000000001E-5</v>
      </c>
      <c r="F33" s="11">
        <v>9.5569999999999995E-3</v>
      </c>
      <c r="G33" s="11">
        <v>0</v>
      </c>
      <c r="H33" s="11">
        <v>6.5170000000000002E-3</v>
      </c>
      <c r="I33" s="11">
        <v>8.2000000000000001E-5</v>
      </c>
      <c r="J33" s="11">
        <v>9.5569999999999995E-3</v>
      </c>
      <c r="K33" s="11">
        <v>3.2899999999999997E-4</v>
      </c>
      <c r="L33" s="11">
        <v>8.4340000000000005E-3</v>
      </c>
      <c r="M33" s="11">
        <v>0.993811</v>
      </c>
      <c r="N33" s="11">
        <v>0.999726</v>
      </c>
      <c r="O33" s="11">
        <v>0</v>
      </c>
    </row>
    <row r="34" spans="2:15" x14ac:dyDescent="0.3">
      <c r="B34" s="3">
        <v>2019</v>
      </c>
      <c r="C34" s="11">
        <v>2.7399999999999999E-4</v>
      </c>
      <c r="D34" s="11">
        <v>5.0000000000000002E-5</v>
      </c>
      <c r="E34" s="11">
        <v>5.0000000000000002E-5</v>
      </c>
      <c r="F34" s="11">
        <v>6.1440000000000002E-3</v>
      </c>
      <c r="G34" s="11">
        <v>5.0000000000000002E-5</v>
      </c>
      <c r="H34" s="11">
        <v>3.1089999999999998E-3</v>
      </c>
      <c r="I34" s="11">
        <v>5.0000000000000002E-5</v>
      </c>
      <c r="J34" s="11">
        <v>6.1440000000000002E-3</v>
      </c>
      <c r="K34" s="11">
        <v>3.48E-4</v>
      </c>
      <c r="L34" s="11">
        <v>5.5469999999999998E-3</v>
      </c>
      <c r="M34" s="11">
        <v>0.33599499999999999</v>
      </c>
      <c r="N34" s="11">
        <v>0.80310899999999996</v>
      </c>
      <c r="O34" s="11">
        <v>5.0000000000000002E-5</v>
      </c>
    </row>
    <row r="35" spans="2:15" x14ac:dyDescent="0.3">
      <c r="B35" s="3">
        <v>2020</v>
      </c>
      <c r="C35" s="11">
        <v>2.72E-4</v>
      </c>
      <c r="D35" s="11">
        <v>4.8999999999999998E-5</v>
      </c>
      <c r="E35" s="11">
        <v>4.8999999999999998E-5</v>
      </c>
      <c r="F35" s="11">
        <v>7.979E-3</v>
      </c>
      <c r="G35" s="11">
        <v>4.8999999999999998E-5</v>
      </c>
      <c r="H35" s="11">
        <v>5.3109999999999997E-3</v>
      </c>
      <c r="I35" s="11">
        <v>4.8999999999999998E-5</v>
      </c>
      <c r="J35" s="11">
        <v>7.979E-3</v>
      </c>
      <c r="K35" s="11">
        <v>3.4600000000000001E-4</v>
      </c>
      <c r="L35" s="11">
        <v>7.3119999999999999E-3</v>
      </c>
      <c r="M35" s="11">
        <v>0.12546299999999999</v>
      </c>
      <c r="N35" s="11">
        <v>0.18168599999999999</v>
      </c>
      <c r="O35" s="11">
        <v>4.8999999999999998E-5</v>
      </c>
    </row>
    <row r="36" spans="2:15" x14ac:dyDescent="0.3">
      <c r="B36" s="3">
        <v>2021</v>
      </c>
      <c r="C36" s="11">
        <v>1.5899999999999999E-4</v>
      </c>
      <c r="D36" s="11">
        <v>4.5000000000000003E-5</v>
      </c>
      <c r="E36" s="11">
        <v>2.9599999999999998E-4</v>
      </c>
      <c r="F36" s="11">
        <v>1.6211E-2</v>
      </c>
      <c r="G36" s="11">
        <v>4.5000000000000003E-5</v>
      </c>
      <c r="H36" s="11">
        <v>1.3528E-2</v>
      </c>
      <c r="I36" s="11">
        <v>2.2699999999999999E-4</v>
      </c>
      <c r="J36" s="11">
        <v>1.5893000000000001E-2</v>
      </c>
      <c r="K36" s="11">
        <v>3.8699999999999997E-4</v>
      </c>
      <c r="L36" s="11">
        <v>1.5415E-2</v>
      </c>
      <c r="M36" s="11">
        <v>0.10188</v>
      </c>
      <c r="N36" s="11">
        <v>0.142373</v>
      </c>
      <c r="O36" s="11">
        <v>4.5000000000000003E-5</v>
      </c>
    </row>
    <row r="37" spans="2:15" x14ac:dyDescent="0.3">
      <c r="B37" s="3">
        <v>2022</v>
      </c>
      <c r="C37" s="11">
        <v>2.6200000000000003E-4</v>
      </c>
      <c r="D37" s="11">
        <v>2.0000000000000002E-5</v>
      </c>
      <c r="E37" s="11">
        <v>5.4500000000000002E-4</v>
      </c>
      <c r="F37" s="11">
        <v>1.7930000000000001E-2</v>
      </c>
      <c r="G37" s="11">
        <v>2.0000000000000002E-5</v>
      </c>
      <c r="H37" s="11">
        <v>1.6518000000000001E-2</v>
      </c>
      <c r="I37" s="11">
        <v>5.2400000000000005E-4</v>
      </c>
      <c r="J37" s="11">
        <v>1.7547E-2</v>
      </c>
      <c r="K37" s="11">
        <v>5.6499999999999996E-4</v>
      </c>
      <c r="L37" s="11">
        <v>1.7586999999999998E-2</v>
      </c>
      <c r="M37" s="11">
        <v>8.3559999999999995E-2</v>
      </c>
      <c r="N37" s="11">
        <v>0.11815000000000001</v>
      </c>
      <c r="O37" s="11">
        <v>2.0000000000000002E-5</v>
      </c>
    </row>
    <row r="38" spans="2:15" x14ac:dyDescent="0.3">
      <c r="B38" s="3">
        <v>2023</v>
      </c>
      <c r="C38" s="11">
        <v>1.8E-5</v>
      </c>
      <c r="D38" s="11">
        <v>0</v>
      </c>
      <c r="E38" s="11">
        <v>6.7900000000000002E-4</v>
      </c>
      <c r="F38" s="11">
        <v>1.3839000000000001E-2</v>
      </c>
      <c r="G38" s="11">
        <v>0</v>
      </c>
      <c r="H38" s="11">
        <v>1.2737999999999999E-2</v>
      </c>
      <c r="I38" s="11">
        <v>2.5700000000000001E-4</v>
      </c>
      <c r="J38" s="11">
        <v>1.3362000000000001E-2</v>
      </c>
      <c r="K38" s="11">
        <v>2.5700000000000001E-4</v>
      </c>
      <c r="L38" s="11">
        <v>1.3252E-2</v>
      </c>
      <c r="M38" s="11">
        <v>7.0792999999999995E-2</v>
      </c>
      <c r="N38" s="11">
        <v>9.8416000000000003E-2</v>
      </c>
      <c r="O38" s="11">
        <v>0</v>
      </c>
    </row>
    <row r="39" spans="2:15" x14ac:dyDescent="0.3">
      <c r="B39" s="3">
        <v>2024</v>
      </c>
      <c r="C39" s="11">
        <v>0</v>
      </c>
      <c r="D39" s="11">
        <v>0</v>
      </c>
      <c r="E39" s="11">
        <v>5.6599999999999999E-4</v>
      </c>
      <c r="F39" s="11">
        <v>9.7210000000000005E-3</v>
      </c>
      <c r="G39" s="11">
        <v>0</v>
      </c>
      <c r="H39" s="11">
        <v>8.5900000000000004E-3</v>
      </c>
      <c r="I39" s="11">
        <v>2.12E-4</v>
      </c>
      <c r="J39" s="11">
        <v>9.0670000000000004E-3</v>
      </c>
      <c r="K39" s="11">
        <v>2.12E-4</v>
      </c>
      <c r="L39" s="11">
        <v>9.0670000000000004E-3</v>
      </c>
      <c r="M39" s="11">
        <v>6.0590999999999999E-2</v>
      </c>
      <c r="N39" s="11">
        <v>8.3251000000000006E-2</v>
      </c>
      <c r="O39" s="11">
        <v>0</v>
      </c>
    </row>
    <row r="40" spans="2:15" x14ac:dyDescent="0.3">
      <c r="B40" s="3">
        <v>2025</v>
      </c>
      <c r="C40" s="11">
        <v>0</v>
      </c>
      <c r="D40" s="11">
        <v>0</v>
      </c>
      <c r="E40" s="11">
        <v>2.42E-4</v>
      </c>
      <c r="F40" s="11">
        <v>3.5760000000000002E-3</v>
      </c>
      <c r="G40" s="11">
        <v>0</v>
      </c>
      <c r="H40" s="11">
        <v>3.006E-3</v>
      </c>
      <c r="I40" s="11">
        <v>3.4999999999999997E-5</v>
      </c>
      <c r="J40" s="11">
        <v>3.1610000000000002E-3</v>
      </c>
      <c r="K40" s="11">
        <v>3.4999999999999997E-5</v>
      </c>
      <c r="L40" s="11">
        <v>3.2130000000000001E-3</v>
      </c>
      <c r="M40" s="11">
        <v>5.7146000000000002E-2</v>
      </c>
      <c r="N40" s="11">
        <v>7.1086999999999997E-2</v>
      </c>
      <c r="O40" s="11">
        <v>0</v>
      </c>
    </row>
    <row r="42" spans="2:15" x14ac:dyDescent="0.3">
      <c r="B42" s="1" t="s">
        <v>90</v>
      </c>
    </row>
    <row r="43" spans="2:15" x14ac:dyDescent="0.3">
      <c r="B43" s="5" t="s">
        <v>36</v>
      </c>
      <c r="C43" s="5" t="s">
        <v>31</v>
      </c>
      <c r="D43" s="5" t="s">
        <v>4</v>
      </c>
      <c r="E43" s="5" t="s">
        <v>37</v>
      </c>
      <c r="F43" s="5" t="s">
        <v>38</v>
      </c>
      <c r="G43" s="5" t="s">
        <v>39</v>
      </c>
      <c r="H43" s="5" t="s">
        <v>40</v>
      </c>
      <c r="I43" s="5" t="s">
        <v>44</v>
      </c>
      <c r="J43" s="5" t="s">
        <v>41</v>
      </c>
      <c r="K43" s="5" t="s">
        <v>45</v>
      </c>
      <c r="L43" s="5" t="s">
        <v>42</v>
      </c>
    </row>
    <row r="44" spans="2:15" x14ac:dyDescent="0.3">
      <c r="B44" s="1" t="s">
        <v>16</v>
      </c>
      <c r="C44" s="1" t="s">
        <v>34</v>
      </c>
      <c r="D44" s="1" t="s">
        <v>35</v>
      </c>
      <c r="E44" s="10">
        <v>4.7764000000000001E-2</v>
      </c>
      <c r="F44" s="12">
        <v>1.74071</v>
      </c>
      <c r="G44" s="9">
        <v>0.66666700000000001</v>
      </c>
      <c r="H44" s="12">
        <v>0.87878800000000001</v>
      </c>
      <c r="I44" s="10">
        <v>0.112744</v>
      </c>
      <c r="J44" s="12">
        <v>0.94928299999999999</v>
      </c>
      <c r="K44" s="10">
        <v>2.5429E-2</v>
      </c>
      <c r="L44" s="12">
        <v>0.30568400000000001</v>
      </c>
      <c r="M44" s="1" t="s">
        <v>46</v>
      </c>
    </row>
    <row r="45" spans="2:15" x14ac:dyDescent="0.3">
      <c r="B45" s="1" t="s">
        <v>17</v>
      </c>
      <c r="C45" s="1" t="s">
        <v>34</v>
      </c>
      <c r="D45" s="1" t="s">
        <v>35</v>
      </c>
      <c r="E45" s="10">
        <v>5.3428999999999997E-2</v>
      </c>
      <c r="F45" s="12">
        <v>2.3652709999999999</v>
      </c>
      <c r="G45" s="9">
        <v>0.74166699999999997</v>
      </c>
      <c r="H45" s="12">
        <v>0.96363600000000005</v>
      </c>
      <c r="I45" s="10">
        <v>8.6636000000000005E-2</v>
      </c>
      <c r="J45" s="12">
        <v>0.62325799999999998</v>
      </c>
      <c r="K45" s="10">
        <v>3.7166999999999999E-2</v>
      </c>
      <c r="L45" s="12">
        <v>0.43875599999999998</v>
      </c>
      <c r="M45" s="1" t="s">
        <v>46</v>
      </c>
    </row>
    <row r="46" spans="2:15" x14ac:dyDescent="0.3">
      <c r="B46" s="1" t="s">
        <v>18</v>
      </c>
      <c r="C46" s="1" t="s">
        <v>34</v>
      </c>
      <c r="D46" s="1" t="s">
        <v>35</v>
      </c>
      <c r="E46" s="10">
        <v>3.5943999999999997E-2</v>
      </c>
      <c r="F46" s="12">
        <v>1.838255</v>
      </c>
      <c r="G46" s="9">
        <v>0.70833299999999999</v>
      </c>
      <c r="H46" s="12">
        <v>0.97575800000000001</v>
      </c>
      <c r="I46" s="10">
        <v>9.6245999999999998E-2</v>
      </c>
      <c r="J46" s="12">
        <v>1.278805</v>
      </c>
      <c r="K46" s="10">
        <v>3.3744000000000003E-2</v>
      </c>
      <c r="L46" s="12">
        <v>0.56989000000000001</v>
      </c>
      <c r="M46" s="1" t="s">
        <v>46</v>
      </c>
    </row>
    <row r="47" spans="2:15" x14ac:dyDescent="0.3">
      <c r="B47" s="1" t="s">
        <v>19</v>
      </c>
      <c r="C47" s="1" t="s">
        <v>34</v>
      </c>
      <c r="D47" s="1" t="s">
        <v>35</v>
      </c>
      <c r="E47" s="10">
        <v>3.1493E-2</v>
      </c>
      <c r="F47" s="12">
        <v>1.5351360000000001</v>
      </c>
      <c r="G47" s="9">
        <v>0.65</v>
      </c>
      <c r="H47" s="12">
        <v>0.951515</v>
      </c>
      <c r="I47" s="10">
        <v>8.0193E-2</v>
      </c>
      <c r="J47" s="12">
        <v>0.96209800000000001</v>
      </c>
      <c r="K47" s="10">
        <v>2.6186000000000001E-2</v>
      </c>
      <c r="L47" s="12">
        <v>0.45244699999999999</v>
      </c>
    </row>
    <row r="48" spans="2:15" x14ac:dyDescent="0.3">
      <c r="B48" s="1" t="s">
        <v>20</v>
      </c>
      <c r="C48" s="1" t="s">
        <v>34</v>
      </c>
      <c r="D48" s="1" t="s">
        <v>35</v>
      </c>
      <c r="E48" s="10">
        <v>5.2632999999999999E-2</v>
      </c>
      <c r="F48" s="12">
        <v>2.6472859999999998</v>
      </c>
      <c r="G48" s="9">
        <v>0.79166700000000001</v>
      </c>
      <c r="H48" s="12">
        <v>0.951515</v>
      </c>
      <c r="I48" s="10">
        <v>0.129855</v>
      </c>
      <c r="J48" s="12">
        <v>1.4191370000000001</v>
      </c>
      <c r="K48" s="10">
        <v>4.0910000000000002E-2</v>
      </c>
      <c r="L48" s="12">
        <v>0.52500899999999995</v>
      </c>
      <c r="M48" s="1" t="s">
        <v>46</v>
      </c>
    </row>
    <row r="49" spans="2:13" x14ac:dyDescent="0.3">
      <c r="B49" s="1" t="s">
        <v>21</v>
      </c>
      <c r="C49" s="1" t="s">
        <v>34</v>
      </c>
      <c r="D49" s="1" t="s">
        <v>35</v>
      </c>
      <c r="E49" s="10">
        <v>4.6571000000000001E-2</v>
      </c>
      <c r="F49" s="12">
        <v>2.2858019999999999</v>
      </c>
      <c r="G49" s="9">
        <v>0.76666699999999999</v>
      </c>
      <c r="H49" s="12">
        <v>0.86666699999999997</v>
      </c>
      <c r="I49" s="10">
        <v>0.105749</v>
      </c>
      <c r="J49" s="12">
        <v>1.1210329999999999</v>
      </c>
      <c r="K49" s="10">
        <v>2.1767999999999999E-2</v>
      </c>
      <c r="L49" s="12">
        <v>0.27757999999999999</v>
      </c>
    </row>
    <row r="50" spans="2:13" x14ac:dyDescent="0.3">
      <c r="B50" s="1" t="s">
        <v>22</v>
      </c>
      <c r="C50" s="1" t="s">
        <v>34</v>
      </c>
      <c r="D50" s="1" t="s">
        <v>35</v>
      </c>
      <c r="E50" s="10">
        <v>4.9869999999999998E-2</v>
      </c>
      <c r="F50" s="12">
        <v>1.9144490000000001</v>
      </c>
      <c r="G50" s="9">
        <v>0.75</v>
      </c>
      <c r="H50" s="12">
        <v>0.93939399999999995</v>
      </c>
      <c r="I50" s="10">
        <v>7.3977000000000001E-2</v>
      </c>
      <c r="J50" s="12">
        <v>0.44075300000000001</v>
      </c>
      <c r="K50" s="10">
        <v>3.2037000000000003E-2</v>
      </c>
      <c r="L50" s="12">
        <v>0.37606299999999998</v>
      </c>
      <c r="M50" s="1" t="s">
        <v>46</v>
      </c>
    </row>
    <row r="51" spans="2:13" x14ac:dyDescent="0.3">
      <c r="B51" s="1" t="s">
        <v>23</v>
      </c>
      <c r="C51" s="1" t="s">
        <v>34</v>
      </c>
      <c r="D51" s="1" t="s">
        <v>35</v>
      </c>
      <c r="E51" s="10">
        <v>3.9843999999999997E-2</v>
      </c>
      <c r="F51" s="12">
        <v>1.550627</v>
      </c>
      <c r="G51" s="9">
        <v>0.69166700000000003</v>
      </c>
      <c r="H51" s="12">
        <v>0.87878800000000001</v>
      </c>
      <c r="I51" s="10">
        <v>3.4514999999999997E-2</v>
      </c>
      <c r="J51" s="12">
        <v>0.116239</v>
      </c>
      <c r="K51" s="10">
        <v>1.3786E-2</v>
      </c>
      <c r="L51" s="12">
        <v>0.15330299999999999</v>
      </c>
    </row>
    <row r="52" spans="2:13" x14ac:dyDescent="0.3">
      <c r="B52" s="1" t="s">
        <v>24</v>
      </c>
      <c r="C52" s="1" t="s">
        <v>34</v>
      </c>
      <c r="D52" s="1" t="s">
        <v>35</v>
      </c>
      <c r="E52" s="10">
        <v>2.6395999999999999E-2</v>
      </c>
      <c r="F52" s="12">
        <v>2.1407669999999999</v>
      </c>
      <c r="G52" s="9">
        <v>0.74166699999999997</v>
      </c>
      <c r="H52" s="12">
        <v>0.90303</v>
      </c>
      <c r="I52" s="10">
        <v>5.5037000000000003E-2</v>
      </c>
      <c r="J52" s="12">
        <v>0.772281</v>
      </c>
      <c r="K52" s="10">
        <v>3.2341000000000002E-2</v>
      </c>
      <c r="L52" s="12">
        <v>0.42942999999999998</v>
      </c>
    </row>
    <row r="53" spans="2:13" x14ac:dyDescent="0.3">
      <c r="B53" s="1" t="s">
        <v>25</v>
      </c>
      <c r="C53" s="1" t="s">
        <v>34</v>
      </c>
      <c r="D53" s="1" t="s">
        <v>35</v>
      </c>
      <c r="E53" s="10">
        <v>3.8879999999999998E-2</v>
      </c>
      <c r="F53" s="12">
        <v>2.0946199999999999</v>
      </c>
      <c r="G53" s="9">
        <v>0.72499999999999998</v>
      </c>
      <c r="H53" s="12">
        <v>0.87878800000000001</v>
      </c>
      <c r="I53" s="10">
        <v>6.0360999999999998E-2</v>
      </c>
      <c r="J53" s="12">
        <v>0.59026699999999999</v>
      </c>
      <c r="K53" s="10">
        <v>2.0691999999999999E-2</v>
      </c>
      <c r="L53" s="12">
        <v>0.250745</v>
      </c>
      <c r="M53" s="1" t="s">
        <v>46</v>
      </c>
    </row>
    <row r="54" spans="2:13" x14ac:dyDescent="0.3">
      <c r="B54" s="1" t="s">
        <v>28</v>
      </c>
      <c r="C54" s="1" t="s">
        <v>34</v>
      </c>
      <c r="D54" s="1" t="s">
        <v>35</v>
      </c>
      <c r="E54" s="10">
        <v>3.2210000000000003E-2</v>
      </c>
      <c r="F54" s="12">
        <v>1.4476180000000001</v>
      </c>
      <c r="G54" s="9">
        <v>0.7</v>
      </c>
      <c r="H54" s="12">
        <v>0.79393899999999995</v>
      </c>
      <c r="I54" s="10">
        <v>7.3893E-2</v>
      </c>
      <c r="J54" s="12">
        <v>0.72128999999999999</v>
      </c>
      <c r="K54" s="10">
        <v>2.4205000000000001E-2</v>
      </c>
      <c r="L54" s="12">
        <v>0.36508400000000002</v>
      </c>
      <c r="M54" s="1" t="s">
        <v>46</v>
      </c>
    </row>
    <row r="55" spans="2:13" x14ac:dyDescent="0.3">
      <c r="B55" s="1" t="s">
        <v>26</v>
      </c>
      <c r="C55" s="1" t="s">
        <v>34</v>
      </c>
      <c r="D55" s="1" t="s">
        <v>35</v>
      </c>
      <c r="E55" s="10">
        <v>3.5237999999999998E-2</v>
      </c>
      <c r="F55" s="12">
        <v>2.2978000000000001</v>
      </c>
      <c r="G55" s="9">
        <v>0.793103</v>
      </c>
      <c r="H55" s="12">
        <v>0.78181800000000001</v>
      </c>
      <c r="I55" s="10">
        <v>0.14169699999999999</v>
      </c>
      <c r="J55" s="12">
        <v>1.7446280000000001</v>
      </c>
      <c r="K55" s="10">
        <v>0.10235900000000001</v>
      </c>
      <c r="L55" s="12">
        <v>1.7131320000000001</v>
      </c>
      <c r="M55" s="1" t="s">
        <v>46</v>
      </c>
    </row>
    <row r="56" spans="2:13" x14ac:dyDescent="0.3">
      <c r="B56" s="1" t="s">
        <v>27</v>
      </c>
      <c r="C56" s="1" t="s">
        <v>34</v>
      </c>
      <c r="D56" s="1" t="s">
        <v>35</v>
      </c>
      <c r="E56" s="10">
        <v>3.8266000000000001E-2</v>
      </c>
      <c r="F56" s="12">
        <v>0.99573900000000004</v>
      </c>
      <c r="G56" s="9">
        <v>0.77215199999999995</v>
      </c>
      <c r="H56" s="12">
        <v>0.62424199999999996</v>
      </c>
      <c r="I56" s="10">
        <v>0.111054</v>
      </c>
      <c r="J56" s="12">
        <v>1.3348709999999999</v>
      </c>
      <c r="K56" s="10">
        <v>6.0801000000000001E-2</v>
      </c>
      <c r="L56" s="12">
        <v>1.3158209999999999</v>
      </c>
    </row>
    <row r="58" spans="2:13" x14ac:dyDescent="0.3">
      <c r="B58" s="1" t="s">
        <v>93</v>
      </c>
    </row>
    <row r="59" spans="2:13" x14ac:dyDescent="0.3">
      <c r="B59" s="5"/>
      <c r="C59" s="5" t="s">
        <v>16</v>
      </c>
      <c r="D59" s="5" t="s">
        <v>17</v>
      </c>
      <c r="E59" s="5" t="s">
        <v>18</v>
      </c>
      <c r="F59" s="5" t="s">
        <v>20</v>
      </c>
      <c r="G59" s="5" t="s">
        <v>22</v>
      </c>
      <c r="H59" s="5" t="s">
        <v>25</v>
      </c>
      <c r="I59" s="5" t="s">
        <v>28</v>
      </c>
      <c r="J59" s="5" t="s">
        <v>26</v>
      </c>
    </row>
    <row r="60" spans="2:13" x14ac:dyDescent="0.3">
      <c r="B60" s="1" t="s">
        <v>16</v>
      </c>
      <c r="C60" s="12">
        <v>1</v>
      </c>
      <c r="D60" s="12"/>
      <c r="E60" s="12"/>
      <c r="F60" s="12"/>
      <c r="G60" s="12"/>
      <c r="H60" s="12"/>
      <c r="I60" s="12"/>
      <c r="J60" s="12"/>
    </row>
    <row r="61" spans="2:13" x14ac:dyDescent="0.3">
      <c r="B61" s="1" t="s">
        <v>17</v>
      </c>
      <c r="C61" s="12">
        <v>0.76713200000000004</v>
      </c>
      <c r="D61" s="12">
        <v>1</v>
      </c>
      <c r="E61" s="12"/>
      <c r="F61" s="12"/>
      <c r="G61" s="12"/>
      <c r="H61" s="12"/>
      <c r="I61" s="12"/>
      <c r="J61" s="12"/>
    </row>
    <row r="62" spans="2:13" x14ac:dyDescent="0.3">
      <c r="B62" s="1" t="s">
        <v>18</v>
      </c>
      <c r="C62" s="12">
        <v>0.91455200000000003</v>
      </c>
      <c r="D62" s="12">
        <v>0.78515500000000005</v>
      </c>
      <c r="E62" s="12">
        <v>1</v>
      </c>
      <c r="F62" s="12"/>
      <c r="G62" s="12"/>
      <c r="H62" s="12"/>
      <c r="I62" s="12"/>
      <c r="J62" s="12"/>
    </row>
    <row r="63" spans="2:13" x14ac:dyDescent="0.3">
      <c r="B63" s="1" t="s">
        <v>20</v>
      </c>
      <c r="C63" s="12">
        <v>0.71141699999999997</v>
      </c>
      <c r="D63" s="12">
        <v>0.91462100000000002</v>
      </c>
      <c r="E63" s="12">
        <v>0.82124299999999995</v>
      </c>
      <c r="F63" s="12">
        <v>1</v>
      </c>
      <c r="G63" s="12"/>
      <c r="H63" s="12"/>
      <c r="I63" s="12"/>
      <c r="J63" s="12"/>
    </row>
    <row r="64" spans="2:13" x14ac:dyDescent="0.3">
      <c r="B64" s="1" t="s">
        <v>22</v>
      </c>
      <c r="C64" s="12">
        <v>0.228128</v>
      </c>
      <c r="D64" s="12">
        <v>0.70879099999999995</v>
      </c>
      <c r="E64" s="12">
        <v>0.35986299999999999</v>
      </c>
      <c r="F64" s="12">
        <v>0.79774299999999998</v>
      </c>
      <c r="G64" s="12">
        <v>1</v>
      </c>
      <c r="H64" s="12"/>
      <c r="I64" s="12"/>
      <c r="J64" s="12"/>
    </row>
    <row r="65" spans="2:14" x14ac:dyDescent="0.3">
      <c r="B65" s="1" t="s">
        <v>25</v>
      </c>
      <c r="C65" s="12">
        <v>0.68918000000000001</v>
      </c>
      <c r="D65" s="12">
        <v>0.88865400000000005</v>
      </c>
      <c r="E65" s="12">
        <v>0.79342699999999999</v>
      </c>
      <c r="F65" s="12">
        <v>0.91814399999999996</v>
      </c>
      <c r="G65" s="12">
        <v>0.741865</v>
      </c>
      <c r="H65" s="12">
        <v>1</v>
      </c>
      <c r="I65" s="12"/>
      <c r="J65" s="12"/>
    </row>
    <row r="66" spans="2:14" x14ac:dyDescent="0.3">
      <c r="B66" s="1" t="s">
        <v>28</v>
      </c>
      <c r="C66" s="12">
        <v>0.10136199999999999</v>
      </c>
      <c r="D66" s="12">
        <v>0.47179500000000002</v>
      </c>
      <c r="E66" s="12">
        <v>0.16134599999999999</v>
      </c>
      <c r="F66" s="12">
        <v>0.45018399999999997</v>
      </c>
      <c r="G66" s="12">
        <v>0.57780500000000001</v>
      </c>
      <c r="H66" s="12">
        <v>0.43596000000000001</v>
      </c>
      <c r="I66" s="12">
        <v>1</v>
      </c>
      <c r="J66" s="12"/>
    </row>
    <row r="67" spans="2:14" x14ac:dyDescent="0.3">
      <c r="B67" s="1" t="s">
        <v>26</v>
      </c>
      <c r="C67" s="12">
        <v>0.46395999999999998</v>
      </c>
      <c r="D67" s="12">
        <v>0.395646</v>
      </c>
      <c r="E67" s="12">
        <v>0.46604099999999998</v>
      </c>
      <c r="F67" s="12">
        <v>0.32846999999999998</v>
      </c>
      <c r="G67" s="12">
        <v>5.9361999999999998E-2</v>
      </c>
      <c r="H67" s="12">
        <v>0.28062100000000001</v>
      </c>
      <c r="I67" s="12">
        <v>8.0048999999999995E-2</v>
      </c>
      <c r="J67" s="12">
        <v>1</v>
      </c>
    </row>
    <row r="69" spans="2:14" x14ac:dyDescent="0.3">
      <c r="B69" s="1" t="s">
        <v>95</v>
      </c>
    </row>
    <row r="70" spans="2:14" x14ac:dyDescent="0.3">
      <c r="B70" s="1" t="s">
        <v>94</v>
      </c>
    </row>
    <row r="71" spans="2:14" x14ac:dyDescent="0.3">
      <c r="B71" s="5" t="s">
        <v>65</v>
      </c>
      <c r="C71" s="5" t="s">
        <v>36</v>
      </c>
      <c r="D71" s="5" t="s">
        <v>31</v>
      </c>
      <c r="E71" s="5" t="s">
        <v>4</v>
      </c>
      <c r="F71" s="5" t="s">
        <v>37</v>
      </c>
      <c r="G71" s="5" t="s">
        <v>38</v>
      </c>
      <c r="H71" s="5" t="s">
        <v>39</v>
      </c>
      <c r="I71" s="5" t="s">
        <v>40</v>
      </c>
      <c r="J71" s="5" t="s">
        <v>44</v>
      </c>
      <c r="K71" s="5" t="s">
        <v>41</v>
      </c>
      <c r="L71" s="5" t="s">
        <v>45</v>
      </c>
      <c r="M71" s="5" t="s">
        <v>42</v>
      </c>
    </row>
    <row r="72" spans="2:14" x14ac:dyDescent="0.3">
      <c r="B72" s="26">
        <v>2</v>
      </c>
      <c r="C72" s="4" t="s">
        <v>48</v>
      </c>
      <c r="D72" s="4" t="s">
        <v>34</v>
      </c>
      <c r="E72" s="4" t="s">
        <v>35</v>
      </c>
      <c r="F72" s="13">
        <v>6.1575172591325798E-2</v>
      </c>
      <c r="G72" s="14">
        <v>2.5699839258516901</v>
      </c>
      <c r="H72" s="15">
        <v>0.77500000000000002</v>
      </c>
      <c r="I72" s="14">
        <v>0.96363636363636296</v>
      </c>
      <c r="J72" s="13">
        <v>0.13717410999952301</v>
      </c>
      <c r="K72" s="14">
        <v>1.0802914090925899</v>
      </c>
      <c r="L72" s="13">
        <v>4.9097920872089001E-2</v>
      </c>
      <c r="M72" s="14">
        <v>0.57437818172482002</v>
      </c>
    </row>
    <row r="73" spans="2:14" x14ac:dyDescent="0.3">
      <c r="B73" s="28"/>
      <c r="C73" s="1" t="s">
        <v>49</v>
      </c>
      <c r="D73" s="1" t="s">
        <v>34</v>
      </c>
      <c r="E73" s="1" t="s">
        <v>35</v>
      </c>
      <c r="F73" s="16">
        <v>6.0921150740802898E-2</v>
      </c>
      <c r="G73" s="17">
        <v>2.3268586006541998</v>
      </c>
      <c r="H73" s="18">
        <v>0.80833333333333302</v>
      </c>
      <c r="I73" s="17">
        <v>0.98787878787878702</v>
      </c>
      <c r="J73" s="16">
        <v>0.119766807424441</v>
      </c>
      <c r="K73" s="17">
        <v>0.78376736974595695</v>
      </c>
      <c r="L73" s="16">
        <v>5.0179333374259803E-2</v>
      </c>
      <c r="M73" s="17">
        <v>0.57134023020119395</v>
      </c>
    </row>
    <row r="74" spans="2:14" x14ac:dyDescent="0.3">
      <c r="B74" s="28"/>
      <c r="C74" s="1" t="s">
        <v>50</v>
      </c>
      <c r="D74" s="1" t="s">
        <v>34</v>
      </c>
      <c r="E74" s="1" t="s">
        <v>35</v>
      </c>
      <c r="F74" s="16">
        <v>6.0684296557873003E-2</v>
      </c>
      <c r="G74" s="17">
        <v>2.3275016716949999</v>
      </c>
      <c r="H74" s="18">
        <v>0.75833333333333297</v>
      </c>
      <c r="I74" s="17">
        <v>0.999999999999999</v>
      </c>
      <c r="J74" s="16">
        <v>0.14009139683406899</v>
      </c>
      <c r="K74" s="17">
        <v>1.0464446819124</v>
      </c>
      <c r="L74" s="16">
        <v>5.2323524646337598E-2</v>
      </c>
      <c r="M74" s="17">
        <v>0.62699101533688495</v>
      </c>
    </row>
    <row r="75" spans="2:14" x14ac:dyDescent="0.3">
      <c r="B75" s="28"/>
      <c r="C75" s="1" t="s">
        <v>51</v>
      </c>
      <c r="D75" s="1" t="s">
        <v>34</v>
      </c>
      <c r="E75" s="1" t="s">
        <v>35</v>
      </c>
      <c r="F75" s="16">
        <v>5.8104821225587001E-2</v>
      </c>
      <c r="G75" s="17">
        <v>2.3766863173261599</v>
      </c>
      <c r="H75" s="18">
        <v>0.75833333333333297</v>
      </c>
      <c r="I75" s="17">
        <v>0.97575757575757505</v>
      </c>
      <c r="J75" s="16">
        <v>0.13499377824023201</v>
      </c>
      <c r="K75" s="17">
        <v>1.0690827886492</v>
      </c>
      <c r="L75" s="16">
        <v>5.3707859436971997E-2</v>
      </c>
      <c r="M75" s="17">
        <v>0.63390716702501004</v>
      </c>
    </row>
    <row r="76" spans="2:14" x14ac:dyDescent="0.3">
      <c r="B76" s="31"/>
      <c r="C76" s="5" t="s">
        <v>52</v>
      </c>
      <c r="D76" s="5" t="s">
        <v>34</v>
      </c>
      <c r="E76" s="5" t="s">
        <v>35</v>
      </c>
      <c r="F76" s="19">
        <v>5.7833474369764798E-2</v>
      </c>
      <c r="G76" s="20">
        <v>2.27010571090671</v>
      </c>
      <c r="H76" s="21">
        <v>0.74166666666666603</v>
      </c>
      <c r="I76" s="20">
        <v>0.98787878787878702</v>
      </c>
      <c r="J76" s="19">
        <v>0.14065751205424001</v>
      </c>
      <c r="K76" s="20">
        <v>1.1208206298369101</v>
      </c>
      <c r="L76" s="19">
        <v>4.69168881356277E-2</v>
      </c>
      <c r="M76" s="20">
        <v>0.58162042183139295</v>
      </c>
    </row>
    <row r="77" spans="2:14" x14ac:dyDescent="0.3">
      <c r="B77" s="26">
        <v>3</v>
      </c>
      <c r="C77" s="4" t="s">
        <v>53</v>
      </c>
      <c r="D77" s="4" t="s">
        <v>34</v>
      </c>
      <c r="E77" s="4" t="s">
        <v>35</v>
      </c>
      <c r="F77" s="13">
        <v>6.3816239830353394E-2</v>
      </c>
      <c r="G77" s="14">
        <v>2.4730984406102201</v>
      </c>
      <c r="H77" s="15">
        <v>0.8</v>
      </c>
      <c r="I77" s="14">
        <v>0.98787878787878702</v>
      </c>
      <c r="J77" s="13">
        <v>0.14873468556157701</v>
      </c>
      <c r="K77" s="14">
        <v>1.08621016695212</v>
      </c>
      <c r="L77" s="13">
        <v>5.5277400453101998E-2</v>
      </c>
      <c r="M77" s="14">
        <v>0.63744498925250903</v>
      </c>
    </row>
    <row r="78" spans="2:14" x14ac:dyDescent="0.3">
      <c r="B78" s="28"/>
      <c r="C78" s="1" t="s">
        <v>54</v>
      </c>
      <c r="D78" s="1" t="s">
        <v>34</v>
      </c>
      <c r="E78" s="1" t="s">
        <v>35</v>
      </c>
      <c r="F78" s="16">
        <v>6.3501253469351301E-2</v>
      </c>
      <c r="G78" s="17">
        <v>2.64208696755346</v>
      </c>
      <c r="H78" s="18">
        <v>0.79166666666666596</v>
      </c>
      <c r="I78" s="17">
        <v>0.999999999999999</v>
      </c>
      <c r="J78" s="16">
        <v>0.15540347277336999</v>
      </c>
      <c r="K78" s="17">
        <v>1.2023710741693101</v>
      </c>
      <c r="L78" s="16">
        <v>6.6830732247657801E-2</v>
      </c>
      <c r="M78" s="17">
        <v>0.97851804047123503</v>
      </c>
      <c r="N78" s="1" t="s">
        <v>66</v>
      </c>
    </row>
    <row r="79" spans="2:14" x14ac:dyDescent="0.3">
      <c r="B79" s="28"/>
      <c r="C79" s="1" t="s">
        <v>55</v>
      </c>
      <c r="D79" s="1" t="s">
        <v>34</v>
      </c>
      <c r="E79" s="1" t="s">
        <v>35</v>
      </c>
      <c r="F79" s="16">
        <v>6.3119611931510694E-2</v>
      </c>
      <c r="G79" s="17">
        <v>2.4622038807906699</v>
      </c>
      <c r="H79" s="18">
        <v>0.77500000000000002</v>
      </c>
      <c r="I79" s="17">
        <v>0.999999999999999</v>
      </c>
      <c r="J79" s="16">
        <v>0.15842825610733599</v>
      </c>
      <c r="K79" s="17">
        <v>1.2015548992954601</v>
      </c>
      <c r="L79" s="16">
        <v>5.9333345129625202E-2</v>
      </c>
      <c r="M79" s="17">
        <v>0.70642057884969101</v>
      </c>
    </row>
    <row r="80" spans="2:14" x14ac:dyDescent="0.3">
      <c r="B80" s="28"/>
      <c r="C80" s="1" t="s">
        <v>56</v>
      </c>
      <c r="D80" s="1" t="s">
        <v>34</v>
      </c>
      <c r="E80" s="1" t="s">
        <v>35</v>
      </c>
      <c r="F80" s="16">
        <v>6.24908965356843E-2</v>
      </c>
      <c r="G80" s="17">
        <v>2.3797410834759698</v>
      </c>
      <c r="H80" s="18">
        <v>0.76666666666666605</v>
      </c>
      <c r="I80" s="17">
        <v>0.97575757575757505</v>
      </c>
      <c r="J80" s="16">
        <v>0.14191303466355601</v>
      </c>
      <c r="K80" s="17">
        <v>0.99966980280800199</v>
      </c>
      <c r="L80" s="16">
        <v>5.05464974682166E-2</v>
      </c>
      <c r="M80" s="17">
        <v>0.58714557218236996</v>
      </c>
    </row>
    <row r="81" spans="2:13" x14ac:dyDescent="0.3">
      <c r="B81" s="31"/>
      <c r="C81" s="5" t="s">
        <v>57</v>
      </c>
      <c r="D81" s="5" t="s">
        <v>34</v>
      </c>
      <c r="E81" s="5" t="s">
        <v>35</v>
      </c>
      <c r="F81" s="19">
        <v>6.2020913815292303E-2</v>
      </c>
      <c r="G81" s="20">
        <v>2.61883225031763</v>
      </c>
      <c r="H81" s="21">
        <v>0.8</v>
      </c>
      <c r="I81" s="20">
        <v>0.999999999999999</v>
      </c>
      <c r="J81" s="19">
        <v>0.16624651236631399</v>
      </c>
      <c r="K81" s="20">
        <v>1.3628628208698299</v>
      </c>
      <c r="L81" s="19">
        <v>6.3274224954178601E-2</v>
      </c>
      <c r="M81" s="20">
        <v>0.98112385911238098</v>
      </c>
    </row>
    <row r="82" spans="2:13" x14ac:dyDescent="0.3">
      <c r="B82" s="28">
        <v>4</v>
      </c>
      <c r="C82" s="1" t="s">
        <v>58</v>
      </c>
      <c r="D82" s="1" t="s">
        <v>34</v>
      </c>
      <c r="E82" s="1" t="s">
        <v>35</v>
      </c>
      <c r="F82" s="10">
        <v>6.4905048524104295E-2</v>
      </c>
      <c r="G82" s="12">
        <v>2.6944553821305801</v>
      </c>
      <c r="H82" s="9">
        <v>0.8</v>
      </c>
      <c r="I82" s="12">
        <v>0.98787878787878702</v>
      </c>
      <c r="J82" s="10">
        <v>0.16758485412089</v>
      </c>
      <c r="K82" s="12">
        <v>1.3175814642391299</v>
      </c>
      <c r="L82" s="10">
        <v>6.82149748766505E-2</v>
      </c>
      <c r="M82" s="12">
        <v>0.95147017842239701</v>
      </c>
    </row>
    <row r="83" spans="2:13" x14ac:dyDescent="0.3">
      <c r="B83" s="28"/>
      <c r="C83" s="1" t="s">
        <v>59</v>
      </c>
      <c r="D83" s="1" t="s">
        <v>34</v>
      </c>
      <c r="E83" s="1" t="s">
        <v>35</v>
      </c>
      <c r="F83" s="10">
        <v>6.4842201095884497E-2</v>
      </c>
      <c r="G83" s="12">
        <v>2.4743986621504401</v>
      </c>
      <c r="H83" s="9">
        <v>0.75833333333333297</v>
      </c>
      <c r="I83" s="12">
        <v>0.98787878787878702</v>
      </c>
      <c r="J83" s="10">
        <v>0.151143468398796</v>
      </c>
      <c r="K83" s="12">
        <v>1.07358192354488</v>
      </c>
      <c r="L83" s="10">
        <v>5.5781350514184702E-2</v>
      </c>
      <c r="M83" s="12">
        <v>0.65160054785201205</v>
      </c>
    </row>
    <row r="84" spans="2:13" x14ac:dyDescent="0.3">
      <c r="B84" s="28"/>
      <c r="C84" s="1" t="s">
        <v>60</v>
      </c>
      <c r="D84" s="1" t="s">
        <v>34</v>
      </c>
      <c r="E84" s="1" t="s">
        <v>35</v>
      </c>
      <c r="F84" s="10">
        <v>6.4432990000562698E-2</v>
      </c>
      <c r="G84" s="12">
        <v>2.5426487240473499</v>
      </c>
      <c r="H84" s="9">
        <v>0.79166666666666596</v>
      </c>
      <c r="I84" s="12">
        <v>0.98787878787878702</v>
      </c>
      <c r="J84" s="10">
        <v>0.15932229134603201</v>
      </c>
      <c r="K84" s="12">
        <v>1.2255263826999301</v>
      </c>
      <c r="L84" s="10">
        <v>6.1898681200143198E-2</v>
      </c>
      <c r="M84" s="12">
        <v>0.86197649430135304</v>
      </c>
    </row>
    <row r="85" spans="2:13" x14ac:dyDescent="0.3">
      <c r="B85" s="28"/>
      <c r="C85" s="1" t="s">
        <v>62</v>
      </c>
      <c r="D85" s="1" t="s">
        <v>63</v>
      </c>
      <c r="E85" s="1" t="s">
        <v>64</v>
      </c>
      <c r="F85" s="10">
        <v>6.4376571252119402E-2</v>
      </c>
      <c r="G85" s="12">
        <v>2.4331835443996899</v>
      </c>
      <c r="H85" s="9">
        <v>0.79166666666666596</v>
      </c>
      <c r="I85" s="12">
        <v>0.999999999999999</v>
      </c>
      <c r="J85" s="10">
        <v>0.15258433164728499</v>
      </c>
      <c r="K85" s="12">
        <v>1.1384004107971899</v>
      </c>
      <c r="L85" s="10">
        <v>5.7855391320764199E-2</v>
      </c>
      <c r="M85" s="12">
        <v>0.68889599624697095</v>
      </c>
    </row>
    <row r="86" spans="2:13" x14ac:dyDescent="0.3">
      <c r="B86" s="28"/>
      <c r="C86" s="1" t="s">
        <v>61</v>
      </c>
      <c r="D86" s="1" t="s">
        <v>34</v>
      </c>
      <c r="E86" s="1" t="s">
        <v>35</v>
      </c>
      <c r="F86" s="10">
        <v>6.4151381619640901E-2</v>
      </c>
      <c r="G86" s="12">
        <v>2.5797155097904199</v>
      </c>
      <c r="H86" s="9">
        <v>0.77500000000000002</v>
      </c>
      <c r="I86" s="12">
        <v>0.98787878787878702</v>
      </c>
      <c r="J86" s="10">
        <v>0.16068717695370199</v>
      </c>
      <c r="K86" s="12">
        <v>1.2264668348690899</v>
      </c>
      <c r="L86" s="10">
        <v>5.9969850357811501E-2</v>
      </c>
      <c r="M86" s="12">
        <v>0.84376636386531501</v>
      </c>
    </row>
    <row r="88" spans="2:13" x14ac:dyDescent="0.3">
      <c r="B88" s="1" t="s">
        <v>126</v>
      </c>
    </row>
    <row r="89" spans="2:13" x14ac:dyDescent="0.3">
      <c r="B89" s="5" t="s">
        <v>36</v>
      </c>
      <c r="C89" s="5" t="s">
        <v>31</v>
      </c>
      <c r="D89" s="5" t="s">
        <v>4</v>
      </c>
      <c r="E89" s="5" t="s">
        <v>37</v>
      </c>
      <c r="F89" s="5" t="s">
        <v>38</v>
      </c>
      <c r="G89" s="5" t="s">
        <v>39</v>
      </c>
      <c r="H89" s="5" t="s">
        <v>40</v>
      </c>
      <c r="I89" s="5" t="s">
        <v>44</v>
      </c>
      <c r="J89" s="5" t="s">
        <v>41</v>
      </c>
      <c r="K89" s="5" t="s">
        <v>45</v>
      </c>
      <c r="L89" s="5" t="s">
        <v>42</v>
      </c>
    </row>
    <row r="90" spans="2:13" x14ac:dyDescent="0.3">
      <c r="B90" s="1" t="s">
        <v>66</v>
      </c>
      <c r="C90" s="1" t="s">
        <v>34</v>
      </c>
      <c r="D90" s="1" t="s">
        <v>35</v>
      </c>
      <c r="E90" s="10">
        <v>6.3501253469351301E-2</v>
      </c>
      <c r="F90" s="12">
        <v>2.64208696755346</v>
      </c>
      <c r="G90" s="9">
        <v>0.79166666666666596</v>
      </c>
      <c r="H90" s="12">
        <v>0.999999999999999</v>
      </c>
      <c r="I90" s="10">
        <v>0.15540347277336999</v>
      </c>
      <c r="J90" s="12">
        <v>1.2023710741693101</v>
      </c>
      <c r="K90" s="10">
        <v>6.6830732247657801E-2</v>
      </c>
      <c r="L90" s="12">
        <v>0.97851804047123503</v>
      </c>
    </row>
    <row r="92" spans="2:13" x14ac:dyDescent="0.3">
      <c r="B92" s="1" t="s">
        <v>67</v>
      </c>
    </row>
    <row r="93" spans="2:13" x14ac:dyDescent="0.3">
      <c r="B93" s="1" t="s">
        <v>91</v>
      </c>
    </row>
    <row r="94" spans="2:13" x14ac:dyDescent="0.3">
      <c r="B94" s="1" t="s">
        <v>70</v>
      </c>
    </row>
    <row r="95" spans="2:13" x14ac:dyDescent="0.3">
      <c r="B95" s="1" t="s">
        <v>92</v>
      </c>
    </row>
    <row r="96" spans="2:13" x14ac:dyDescent="0.3">
      <c r="B96" s="1" t="s">
        <v>127</v>
      </c>
    </row>
    <row r="97" spans="2:13" x14ac:dyDescent="0.3">
      <c r="B97" s="1" t="s">
        <v>128</v>
      </c>
    </row>
    <row r="98" spans="2:13" x14ac:dyDescent="0.3">
      <c r="B98" s="1" t="s">
        <v>68</v>
      </c>
    </row>
    <row r="99" spans="2:13" x14ac:dyDescent="0.3">
      <c r="B99" s="1" t="s">
        <v>69</v>
      </c>
    </row>
    <row r="101" spans="2:13" x14ac:dyDescent="0.3">
      <c r="B101" s="1" t="s">
        <v>88</v>
      </c>
    </row>
    <row r="102" spans="2:13" x14ac:dyDescent="0.3">
      <c r="B102" s="1" t="s">
        <v>89</v>
      </c>
    </row>
    <row r="103" spans="2:13" x14ac:dyDescent="0.3">
      <c r="B103" s="5"/>
      <c r="C103" s="5" t="s">
        <v>36</v>
      </c>
      <c r="D103" s="5" t="s">
        <v>31</v>
      </c>
      <c r="E103" s="5" t="s">
        <v>4</v>
      </c>
      <c r="F103" s="5" t="s">
        <v>37</v>
      </c>
      <c r="G103" s="5" t="s">
        <v>38</v>
      </c>
      <c r="H103" s="5" t="s">
        <v>39</v>
      </c>
      <c r="I103" s="5" t="s">
        <v>40</v>
      </c>
      <c r="J103" s="5" t="s">
        <v>44</v>
      </c>
      <c r="K103" s="5" t="s">
        <v>41</v>
      </c>
      <c r="L103" s="5" t="s">
        <v>45</v>
      </c>
      <c r="M103" s="5" t="s">
        <v>42</v>
      </c>
    </row>
    <row r="104" spans="2:13" x14ac:dyDescent="0.3">
      <c r="B104" s="8" t="s">
        <v>84</v>
      </c>
      <c r="C104" s="7" t="s">
        <v>20</v>
      </c>
      <c r="D104" s="7" t="s">
        <v>34</v>
      </c>
      <c r="E104" s="7" t="s">
        <v>35</v>
      </c>
      <c r="F104" s="22">
        <v>5.2632999999999999E-2</v>
      </c>
      <c r="G104" s="23">
        <v>2.6472859999999998</v>
      </c>
      <c r="H104" s="24">
        <v>0.79166700000000001</v>
      </c>
      <c r="I104" s="23">
        <v>0.951515</v>
      </c>
      <c r="J104" s="22">
        <v>0.129855</v>
      </c>
      <c r="K104" s="23">
        <v>1.4191370000000001</v>
      </c>
      <c r="L104" s="22">
        <v>4.0910000000000002E-2</v>
      </c>
      <c r="M104" s="23">
        <v>0.52500899999999995</v>
      </c>
    </row>
    <row r="105" spans="2:13" x14ac:dyDescent="0.3">
      <c r="B105" s="26" t="s">
        <v>83</v>
      </c>
      <c r="C105" s="4" t="s">
        <v>71</v>
      </c>
      <c r="D105" s="4" t="s">
        <v>34</v>
      </c>
      <c r="E105" s="4" t="s">
        <v>35</v>
      </c>
      <c r="F105" s="13">
        <v>3.3403462465385898E-2</v>
      </c>
      <c r="G105" s="14">
        <v>2.1384460776066798</v>
      </c>
      <c r="H105" s="15">
        <v>0.75833333333333297</v>
      </c>
      <c r="I105" s="14">
        <v>0.98787878787878702</v>
      </c>
      <c r="J105" s="13">
        <v>7.7946614149909402E-2</v>
      </c>
      <c r="K105" s="14">
        <v>0.70588392399966204</v>
      </c>
      <c r="L105" s="13">
        <v>4.2488340452463198E-2</v>
      </c>
      <c r="M105" s="14">
        <v>0.65997467911844099</v>
      </c>
    </row>
    <row r="106" spans="2:13" x14ac:dyDescent="0.3">
      <c r="B106" s="28"/>
      <c r="C106" s="1" t="s">
        <v>73</v>
      </c>
      <c r="D106" s="1" t="s">
        <v>34</v>
      </c>
      <c r="E106" s="1" t="s">
        <v>35</v>
      </c>
      <c r="F106" s="16">
        <v>3.1063129618254401E-2</v>
      </c>
      <c r="G106" s="17">
        <v>1.90656932098286</v>
      </c>
      <c r="H106" s="18">
        <v>0.74166666666666603</v>
      </c>
      <c r="I106" s="17">
        <v>0.97575757575757505</v>
      </c>
      <c r="J106" s="16">
        <v>6.0445067857012903E-2</v>
      </c>
      <c r="K106" s="17">
        <v>0.46832361599995398</v>
      </c>
      <c r="L106" s="16">
        <v>3.7662127610352002E-2</v>
      </c>
      <c r="M106" s="17">
        <v>0.56674219781201096</v>
      </c>
    </row>
    <row r="107" spans="2:13" x14ac:dyDescent="0.3">
      <c r="B107" s="31"/>
      <c r="C107" s="5" t="s">
        <v>75</v>
      </c>
      <c r="D107" s="5" t="s">
        <v>34</v>
      </c>
      <c r="E107" s="5" t="s">
        <v>35</v>
      </c>
      <c r="F107" s="19">
        <v>2.8683986799946298E-2</v>
      </c>
      <c r="G107" s="20">
        <v>1.710436248071</v>
      </c>
      <c r="H107" s="21">
        <v>0.7</v>
      </c>
      <c r="I107" s="20">
        <v>0.90303030303030196</v>
      </c>
      <c r="J107" s="19">
        <v>6.3609244024464495E-2</v>
      </c>
      <c r="K107" s="20">
        <v>0.540466623330773</v>
      </c>
      <c r="L107" s="19">
        <v>3.3966467921346701E-2</v>
      </c>
      <c r="M107" s="20">
        <v>0.53484329925798801</v>
      </c>
    </row>
    <row r="108" spans="2:13" x14ac:dyDescent="0.3">
      <c r="B108" s="26" t="s">
        <v>85</v>
      </c>
      <c r="C108" s="4" t="s">
        <v>72</v>
      </c>
      <c r="D108" s="4" t="s">
        <v>34</v>
      </c>
      <c r="E108" s="4" t="s">
        <v>35</v>
      </c>
      <c r="F108" s="13">
        <v>4.3766869055701998E-2</v>
      </c>
      <c r="G108" s="14">
        <v>3.3074464493639999</v>
      </c>
      <c r="H108" s="15">
        <v>0.80833333333333302</v>
      </c>
      <c r="I108" s="14">
        <v>0.999999999999999</v>
      </c>
      <c r="J108" s="13">
        <v>0.122830809518797</v>
      </c>
      <c r="K108" s="14">
        <v>1.4645653271102199</v>
      </c>
      <c r="L108" s="13">
        <v>6.1324078362162603E-2</v>
      </c>
      <c r="M108" s="14">
        <v>1.6264991619523199</v>
      </c>
    </row>
    <row r="109" spans="2:13" x14ac:dyDescent="0.3">
      <c r="B109" s="28"/>
      <c r="C109" s="1" t="s">
        <v>74</v>
      </c>
      <c r="D109" s="1" t="s">
        <v>34</v>
      </c>
      <c r="E109" s="1" t="s">
        <v>35</v>
      </c>
      <c r="F109" s="16">
        <v>4.6444970882254702E-2</v>
      </c>
      <c r="G109" s="17">
        <v>3.3030657530737502</v>
      </c>
      <c r="H109" s="18">
        <v>0.80833333333333302</v>
      </c>
      <c r="I109" s="17">
        <v>0.98787878787878702</v>
      </c>
      <c r="J109" s="16">
        <v>0.138761064451626</v>
      </c>
      <c r="K109" s="17">
        <v>1.6730010604338901</v>
      </c>
      <c r="L109" s="16">
        <v>6.2371229465159897E-2</v>
      </c>
      <c r="M109" s="17">
        <v>1.55305000269807</v>
      </c>
    </row>
    <row r="110" spans="2:13" x14ac:dyDescent="0.3">
      <c r="B110" s="31"/>
      <c r="C110" s="5" t="s">
        <v>76</v>
      </c>
      <c r="D110" s="5" t="s">
        <v>34</v>
      </c>
      <c r="E110" s="5" t="s">
        <v>35</v>
      </c>
      <c r="F110" s="19">
        <v>4.6326102169107E-2</v>
      </c>
      <c r="G110" s="20">
        <v>3.2536018734034098</v>
      </c>
      <c r="H110" s="21">
        <v>0.82499999999999996</v>
      </c>
      <c r="I110" s="20">
        <v>0.98787878787878702</v>
      </c>
      <c r="J110" s="19">
        <v>0.13928918857089201</v>
      </c>
      <c r="K110" s="20">
        <v>1.7794106059970001</v>
      </c>
      <c r="L110" s="19">
        <v>6.0310700108068202E-2</v>
      </c>
      <c r="M110" s="20">
        <v>1.51717046970405</v>
      </c>
    </row>
    <row r="111" spans="2:13" x14ac:dyDescent="0.3">
      <c r="B111" s="26" t="s">
        <v>86</v>
      </c>
      <c r="C111" s="4" t="s">
        <v>77</v>
      </c>
      <c r="D111" s="4" t="s">
        <v>34</v>
      </c>
      <c r="E111" s="4" t="s">
        <v>35</v>
      </c>
      <c r="F111" s="13">
        <v>2.83098869148131E-2</v>
      </c>
      <c r="G111" s="14">
        <v>2.3292537544721101</v>
      </c>
      <c r="H111" s="15">
        <v>0.72499999999999998</v>
      </c>
      <c r="I111" s="14">
        <v>0.62424242424242404</v>
      </c>
      <c r="J111" s="13">
        <v>8.5513530138684596E-2</v>
      </c>
      <c r="K111" s="14">
        <v>1.1033126371412001</v>
      </c>
      <c r="L111" s="13">
        <v>2.2785178854287901E-3</v>
      </c>
      <c r="M111" s="14">
        <v>4.6195523480243098E-2</v>
      </c>
    </row>
    <row r="112" spans="2:13" x14ac:dyDescent="0.3">
      <c r="B112" s="28"/>
      <c r="C112" s="1" t="s">
        <v>79</v>
      </c>
      <c r="D112" s="1" t="s">
        <v>34</v>
      </c>
      <c r="E112" s="1" t="s">
        <v>35</v>
      </c>
      <c r="F112" s="16">
        <v>2.7819459224822402E-2</v>
      </c>
      <c r="G112" s="17">
        <v>2.5155412812261702</v>
      </c>
      <c r="H112" s="18">
        <v>0.75833333333333297</v>
      </c>
      <c r="I112" s="17">
        <v>0.527272727272727</v>
      </c>
      <c r="J112" s="16">
        <v>9.39887582244152E-2</v>
      </c>
      <c r="K112" s="17">
        <v>1.64006747908811</v>
      </c>
      <c r="L112" s="16">
        <v>9.0865694039349396E-4</v>
      </c>
      <c r="M112" s="17">
        <v>2.2986484733393198E-2</v>
      </c>
    </row>
    <row r="113" spans="2:13" x14ac:dyDescent="0.3">
      <c r="B113" s="31"/>
      <c r="C113" s="5" t="s">
        <v>81</v>
      </c>
      <c r="D113" s="5" t="s">
        <v>34</v>
      </c>
      <c r="E113" s="5" t="s">
        <v>35</v>
      </c>
      <c r="F113" s="19">
        <v>2.7819796037275898E-2</v>
      </c>
      <c r="G113" s="20">
        <v>2.22943959366801</v>
      </c>
      <c r="H113" s="21">
        <v>0.73333333333333295</v>
      </c>
      <c r="I113" s="20">
        <v>0.51515151515151503</v>
      </c>
      <c r="J113" s="19">
        <v>9.3261011289597101E-2</v>
      </c>
      <c r="K113" s="20">
        <v>1.4962173830377701</v>
      </c>
      <c r="L113" s="19">
        <v>-9.5235282844637892E-3</v>
      </c>
      <c r="M113" s="20">
        <v>-0.26087015545367098</v>
      </c>
    </row>
    <row r="114" spans="2:13" x14ac:dyDescent="0.3">
      <c r="B114" s="28" t="s">
        <v>87</v>
      </c>
      <c r="C114" s="1" t="s">
        <v>78</v>
      </c>
      <c r="D114" s="1" t="s">
        <v>34</v>
      </c>
      <c r="E114" s="1" t="s">
        <v>35</v>
      </c>
      <c r="F114" s="10">
        <v>1.73247217057718E-2</v>
      </c>
      <c r="G114" s="12">
        <v>1.89228930045285</v>
      </c>
      <c r="H114" s="9">
        <v>0.69166666666666599</v>
      </c>
      <c r="I114" s="12">
        <v>0.57575757575757502</v>
      </c>
      <c r="J114" s="10">
        <v>6.0735066410921003E-2</v>
      </c>
      <c r="K114" s="12">
        <v>1.0062691049880099</v>
      </c>
      <c r="L114" s="10">
        <v>-5.5846822145852E-3</v>
      </c>
      <c r="M114" s="12">
        <v>-0.13707406780178499</v>
      </c>
    </row>
    <row r="115" spans="2:13" x14ac:dyDescent="0.3">
      <c r="B115" s="28"/>
      <c r="C115" s="1" t="s">
        <v>80</v>
      </c>
      <c r="D115" s="1" t="s">
        <v>34</v>
      </c>
      <c r="E115" s="1" t="s">
        <v>35</v>
      </c>
      <c r="F115" s="10">
        <v>1.95169653024161E-2</v>
      </c>
      <c r="G115" s="12">
        <v>2.1951882274327299</v>
      </c>
      <c r="H115" s="9">
        <v>0.72499999999999998</v>
      </c>
      <c r="I115" s="12">
        <v>0.62424242424242404</v>
      </c>
      <c r="J115" s="10">
        <v>7.6425463700255394E-2</v>
      </c>
      <c r="K115" s="12">
        <v>1.48270197319354</v>
      </c>
      <c r="L115" s="10">
        <v>2.5273409000705102E-3</v>
      </c>
      <c r="M115" s="12">
        <v>6.2682437593868101E-2</v>
      </c>
    </row>
    <row r="116" spans="2:13" x14ac:dyDescent="0.3">
      <c r="B116" s="28"/>
      <c r="C116" s="1" t="s">
        <v>82</v>
      </c>
      <c r="D116" s="1" t="s">
        <v>34</v>
      </c>
      <c r="E116" s="1" t="s">
        <v>35</v>
      </c>
      <c r="F116" s="10">
        <v>2.1148858081339199E-2</v>
      </c>
      <c r="G116" s="12">
        <v>2.0892493689360601</v>
      </c>
      <c r="H116" s="9">
        <v>0.73333333333333295</v>
      </c>
      <c r="I116" s="12">
        <v>0.6</v>
      </c>
      <c r="J116" s="10">
        <v>7.8749309779417201E-2</v>
      </c>
      <c r="K116" s="12">
        <v>1.3424790424545301</v>
      </c>
      <c r="L116" s="10">
        <v>-3.8217674903224998E-3</v>
      </c>
      <c r="M116" s="12">
        <v>-9.53006307665622E-2</v>
      </c>
    </row>
    <row r="118" spans="2:13" x14ac:dyDescent="0.3">
      <c r="B118" s="1" t="s">
        <v>113</v>
      </c>
    </row>
    <row r="130" spans="2:14" x14ac:dyDescent="0.3">
      <c r="B130" s="1" t="s">
        <v>129</v>
      </c>
    </row>
    <row r="131" spans="2:14" x14ac:dyDescent="0.3">
      <c r="B131" s="5" t="s">
        <v>65</v>
      </c>
      <c r="C131" s="5" t="s">
        <v>36</v>
      </c>
      <c r="D131" s="5" t="s">
        <v>31</v>
      </c>
      <c r="E131" s="5" t="s">
        <v>4</v>
      </c>
      <c r="F131" s="5" t="s">
        <v>37</v>
      </c>
      <c r="G131" s="5" t="s">
        <v>38</v>
      </c>
      <c r="H131" s="5" t="s">
        <v>39</v>
      </c>
      <c r="I131" s="5" t="s">
        <v>40</v>
      </c>
      <c r="J131" s="5" t="s">
        <v>44</v>
      </c>
      <c r="K131" s="5" t="s">
        <v>41</v>
      </c>
      <c r="L131" s="5" t="s">
        <v>45</v>
      </c>
      <c r="M131" s="5" t="s">
        <v>42</v>
      </c>
    </row>
    <row r="132" spans="2:14" x14ac:dyDescent="0.3">
      <c r="B132" s="29">
        <v>1</v>
      </c>
      <c r="C132" s="4" t="s">
        <v>20</v>
      </c>
      <c r="D132" s="4" t="s">
        <v>34</v>
      </c>
      <c r="E132" s="4" t="s">
        <v>35</v>
      </c>
      <c r="F132" s="13">
        <v>5.26331146078017E-2</v>
      </c>
      <c r="G132" s="14">
        <v>2.6472863811085099</v>
      </c>
      <c r="H132" s="15">
        <v>0.79166666666666596</v>
      </c>
      <c r="I132" s="14">
        <v>0.95151515151515098</v>
      </c>
      <c r="J132" s="13">
        <v>0.12985508894977199</v>
      </c>
      <c r="K132" s="14">
        <v>1.41913733968419</v>
      </c>
      <c r="L132" s="13">
        <v>4.0910440662766098E-2</v>
      </c>
      <c r="M132" s="14">
        <v>0.525008532255411</v>
      </c>
    </row>
    <row r="133" spans="2:14" x14ac:dyDescent="0.3">
      <c r="B133" s="30"/>
      <c r="C133" s="1" t="s">
        <v>74</v>
      </c>
      <c r="D133" s="1" t="s">
        <v>34</v>
      </c>
      <c r="E133" s="1" t="s">
        <v>35</v>
      </c>
      <c r="F133" s="16">
        <v>4.6444970882254702E-2</v>
      </c>
      <c r="G133" s="17">
        <v>3.3030657530737502</v>
      </c>
      <c r="H133" s="18">
        <v>0.80833333333333302</v>
      </c>
      <c r="I133" s="17">
        <v>0.98787878787878702</v>
      </c>
      <c r="J133" s="16">
        <v>0.138761064451626</v>
      </c>
      <c r="K133" s="17">
        <v>1.6730010604338901</v>
      </c>
      <c r="L133" s="16">
        <v>6.2371229465159897E-2</v>
      </c>
      <c r="M133" s="17">
        <v>1.55305000269807</v>
      </c>
    </row>
    <row r="134" spans="2:14" x14ac:dyDescent="0.3">
      <c r="B134" s="30"/>
      <c r="C134" s="1" t="s">
        <v>76</v>
      </c>
      <c r="D134" s="1" t="s">
        <v>34</v>
      </c>
      <c r="E134" s="1" t="s">
        <v>35</v>
      </c>
      <c r="F134" s="16">
        <v>4.6326102169107E-2</v>
      </c>
      <c r="G134" s="17">
        <v>3.2536018734034098</v>
      </c>
      <c r="H134" s="18">
        <v>0.82499999999999996</v>
      </c>
      <c r="I134" s="17">
        <v>0.98787878787878702</v>
      </c>
      <c r="J134" s="16">
        <v>0.13928918857089201</v>
      </c>
      <c r="K134" s="17">
        <v>1.7794106059970001</v>
      </c>
      <c r="L134" s="16">
        <v>6.0310700108068202E-2</v>
      </c>
      <c r="M134" s="17">
        <v>1.51717046970405</v>
      </c>
    </row>
    <row r="135" spans="2:14" x14ac:dyDescent="0.3">
      <c r="B135" s="30"/>
      <c r="C135" s="1" t="s">
        <v>72</v>
      </c>
      <c r="D135" s="1" t="s">
        <v>34</v>
      </c>
      <c r="E135" s="1" t="s">
        <v>35</v>
      </c>
      <c r="F135" s="16">
        <v>4.3766869055701998E-2</v>
      </c>
      <c r="G135" s="17">
        <v>3.3074464493639999</v>
      </c>
      <c r="H135" s="18">
        <v>0.80833333333333302</v>
      </c>
      <c r="I135" s="17">
        <v>0.999999999999999</v>
      </c>
      <c r="J135" s="16">
        <v>0.122830809518797</v>
      </c>
      <c r="K135" s="17">
        <v>1.4645653271102199</v>
      </c>
      <c r="L135" s="16">
        <v>6.1324078362162603E-2</v>
      </c>
      <c r="M135" s="17">
        <v>1.6264991619523199</v>
      </c>
    </row>
    <row r="136" spans="2:14" x14ac:dyDescent="0.3">
      <c r="B136" s="32"/>
      <c r="C136" s="5" t="s">
        <v>71</v>
      </c>
      <c r="D136" s="5" t="s">
        <v>34</v>
      </c>
      <c r="E136" s="5" t="s">
        <v>35</v>
      </c>
      <c r="F136" s="19">
        <v>3.3403462465385898E-2</v>
      </c>
      <c r="G136" s="20">
        <v>2.1384460776066798</v>
      </c>
      <c r="H136" s="21">
        <v>0.75833333333333297</v>
      </c>
      <c r="I136" s="20">
        <v>0.98787878787878702</v>
      </c>
      <c r="J136" s="19">
        <v>7.7946614149909402E-2</v>
      </c>
      <c r="K136" s="20">
        <v>0.70588392399966204</v>
      </c>
      <c r="L136" s="19">
        <v>4.2488340452463198E-2</v>
      </c>
      <c r="M136" s="20">
        <v>0.65997467911844099</v>
      </c>
    </row>
    <row r="137" spans="2:14" x14ac:dyDescent="0.3">
      <c r="B137" s="29">
        <v>2</v>
      </c>
      <c r="C137" s="4" t="s">
        <v>98</v>
      </c>
      <c r="D137" s="4" t="s">
        <v>34</v>
      </c>
      <c r="E137" s="4" t="s">
        <v>35</v>
      </c>
      <c r="F137" s="13">
        <v>5.8989184158697902E-2</v>
      </c>
      <c r="G137" s="14">
        <v>3.6184507629814799</v>
      </c>
      <c r="H137" s="15">
        <v>0.84166666666666601</v>
      </c>
      <c r="I137" s="14">
        <v>0.999999999999999</v>
      </c>
      <c r="J137" s="13">
        <v>0.162746512584417</v>
      </c>
      <c r="K137" s="14">
        <v>2.0852169057548098</v>
      </c>
      <c r="L137" s="13">
        <v>6.4016835774335507E-2</v>
      </c>
      <c r="M137" s="14">
        <v>1.2645249998515899</v>
      </c>
      <c r="N137" s="1" t="s">
        <v>46</v>
      </c>
    </row>
    <row r="138" spans="2:14" x14ac:dyDescent="0.3">
      <c r="B138" s="30"/>
      <c r="C138" s="1" t="s">
        <v>99</v>
      </c>
      <c r="D138" s="1" t="s">
        <v>34</v>
      </c>
      <c r="E138" s="1" t="s">
        <v>35</v>
      </c>
      <c r="F138" s="16">
        <v>5.85885671976571E-2</v>
      </c>
      <c r="G138" s="17">
        <v>3.4258243567996498</v>
      </c>
      <c r="H138" s="18">
        <v>0.80833333333333302</v>
      </c>
      <c r="I138" s="17">
        <v>0.999999999999999</v>
      </c>
      <c r="J138" s="16">
        <v>0.15888575424005999</v>
      </c>
      <c r="K138" s="17">
        <v>2.1062644100004402</v>
      </c>
      <c r="L138" s="16">
        <v>5.9373087720216301E-2</v>
      </c>
      <c r="M138" s="17">
        <v>1.13859168079151</v>
      </c>
    </row>
    <row r="139" spans="2:14" x14ac:dyDescent="0.3">
      <c r="B139" s="30"/>
      <c r="C139" s="1" t="s">
        <v>100</v>
      </c>
      <c r="D139" s="1" t="s">
        <v>34</v>
      </c>
      <c r="E139" s="1" t="s">
        <v>35</v>
      </c>
      <c r="F139" s="16">
        <v>5.7381196914290597E-2</v>
      </c>
      <c r="G139" s="17">
        <v>3.2704472286364199</v>
      </c>
      <c r="H139" s="18">
        <v>0.8</v>
      </c>
      <c r="I139" s="17">
        <v>0.98787878787878702</v>
      </c>
      <c r="J139" s="16">
        <v>0.15248846484636799</v>
      </c>
      <c r="K139" s="17">
        <v>1.9764831522003501</v>
      </c>
      <c r="L139" s="16">
        <v>5.7926729193175097E-2</v>
      </c>
      <c r="M139" s="17">
        <v>1.0716064945143799</v>
      </c>
    </row>
    <row r="140" spans="2:14" x14ac:dyDescent="0.3">
      <c r="B140" s="30"/>
      <c r="C140" s="1" t="s">
        <v>101</v>
      </c>
      <c r="D140" s="1" t="s">
        <v>34</v>
      </c>
      <c r="E140" s="1" t="s">
        <v>35</v>
      </c>
      <c r="F140" s="16">
        <v>5.2859806796980699E-2</v>
      </c>
      <c r="G140" s="17">
        <v>3.3158203515243998</v>
      </c>
      <c r="H140" s="18">
        <v>0.83333333333333304</v>
      </c>
      <c r="I140" s="17">
        <v>0.96363636363636296</v>
      </c>
      <c r="J140" s="16">
        <v>0.14601541463915599</v>
      </c>
      <c r="K140" s="17">
        <v>1.94531259757956</v>
      </c>
      <c r="L140" s="16">
        <v>4.9441645575421397E-2</v>
      </c>
      <c r="M140" s="17">
        <v>0.923511359406892</v>
      </c>
    </row>
    <row r="141" spans="2:14" x14ac:dyDescent="0.3">
      <c r="B141" s="32"/>
      <c r="C141" s="5" t="s">
        <v>102</v>
      </c>
      <c r="D141" s="5" t="s">
        <v>34</v>
      </c>
      <c r="E141" s="5" t="s">
        <v>35</v>
      </c>
      <c r="F141" s="19">
        <v>5.11428718114183E-2</v>
      </c>
      <c r="G141" s="20">
        <v>2.97775545318073</v>
      </c>
      <c r="H141" s="21">
        <v>0.81666666666666599</v>
      </c>
      <c r="I141" s="20">
        <v>0.999999999999999</v>
      </c>
      <c r="J141" s="19">
        <v>0.148723030743556</v>
      </c>
      <c r="K141" s="20">
        <v>2.0457316447506702</v>
      </c>
      <c r="L141" s="19">
        <v>5.0607846676891603E-2</v>
      </c>
      <c r="M141" s="20">
        <v>0.97230779888821695</v>
      </c>
    </row>
    <row r="142" spans="2:14" x14ac:dyDescent="0.3">
      <c r="B142" s="29">
        <v>3</v>
      </c>
      <c r="C142" s="4" t="s">
        <v>103</v>
      </c>
      <c r="D142" s="4" t="s">
        <v>34</v>
      </c>
      <c r="E142" s="4" t="s">
        <v>35</v>
      </c>
      <c r="F142" s="13">
        <v>5.8566007143866498E-2</v>
      </c>
      <c r="G142" s="14">
        <v>3.39575140764302</v>
      </c>
      <c r="H142" s="15">
        <v>0.83333333333333304</v>
      </c>
      <c r="I142" s="14">
        <v>0.999999999999999</v>
      </c>
      <c r="J142" s="13">
        <v>0.16015020985563999</v>
      </c>
      <c r="K142" s="14">
        <v>2.03683402458288</v>
      </c>
      <c r="L142" s="13">
        <v>5.3499442234782597E-2</v>
      </c>
      <c r="M142" s="14">
        <v>1.00939170149079</v>
      </c>
    </row>
    <row r="143" spans="2:14" x14ac:dyDescent="0.3">
      <c r="B143" s="30"/>
      <c r="C143" s="1" t="s">
        <v>104</v>
      </c>
      <c r="D143" s="1" t="s">
        <v>34</v>
      </c>
      <c r="E143" s="1" t="s">
        <v>35</v>
      </c>
      <c r="F143" s="16">
        <v>5.8222396060061597E-2</v>
      </c>
      <c r="G143" s="17">
        <v>3.4218331086635998</v>
      </c>
      <c r="H143" s="18">
        <v>0.84166666666666601</v>
      </c>
      <c r="I143" s="17">
        <v>0.97575757575757505</v>
      </c>
      <c r="J143" s="16">
        <v>0.15098069122537</v>
      </c>
      <c r="K143" s="17">
        <v>1.8979169201367101</v>
      </c>
      <c r="L143" s="16">
        <v>5.5321083494644298E-2</v>
      </c>
      <c r="M143" s="17">
        <v>1.0055430019282801</v>
      </c>
    </row>
    <row r="144" spans="2:14" x14ac:dyDescent="0.3">
      <c r="B144" s="30"/>
      <c r="C144" s="1" t="s">
        <v>105</v>
      </c>
      <c r="D144" s="1" t="s">
        <v>34</v>
      </c>
      <c r="E144" s="1" t="s">
        <v>35</v>
      </c>
      <c r="F144" s="16">
        <v>5.7870853987137497E-2</v>
      </c>
      <c r="G144" s="17">
        <v>3.26733633587865</v>
      </c>
      <c r="H144" s="18">
        <v>0.81666666666666599</v>
      </c>
      <c r="I144" s="17">
        <v>0.98787878787878702</v>
      </c>
      <c r="J144" s="16">
        <v>0.16382561794453801</v>
      </c>
      <c r="K144" s="17">
        <v>1.9842041772580301</v>
      </c>
      <c r="L144" s="16">
        <v>6.1286770469079599E-2</v>
      </c>
      <c r="M144" s="17">
        <v>1.0946478005209299</v>
      </c>
    </row>
    <row r="145" spans="2:13" x14ac:dyDescent="0.3">
      <c r="B145" s="30"/>
      <c r="C145" s="1" t="s">
        <v>106</v>
      </c>
      <c r="D145" s="1" t="s">
        <v>34</v>
      </c>
      <c r="E145" s="1" t="s">
        <v>35</v>
      </c>
      <c r="F145" s="16">
        <v>5.76748925923595E-2</v>
      </c>
      <c r="G145" s="17">
        <v>3.46644993229964</v>
      </c>
      <c r="H145" s="18">
        <v>0.82499999999999996</v>
      </c>
      <c r="I145" s="17">
        <v>0.98787878787878702</v>
      </c>
      <c r="J145" s="16">
        <v>0.15073550068684699</v>
      </c>
      <c r="K145" s="17">
        <v>1.88716090490472</v>
      </c>
      <c r="L145" s="16">
        <v>5.7402321105716803E-2</v>
      </c>
      <c r="M145" s="17">
        <v>1.0962369808410499</v>
      </c>
    </row>
    <row r="146" spans="2:13" x14ac:dyDescent="0.3">
      <c r="B146" s="32"/>
      <c r="C146" s="5" t="s">
        <v>107</v>
      </c>
      <c r="D146" s="5" t="s">
        <v>34</v>
      </c>
      <c r="E146" s="5" t="s">
        <v>35</v>
      </c>
      <c r="F146" s="19">
        <v>5.7637808787332899E-2</v>
      </c>
      <c r="G146" s="20">
        <v>3.3202829848849902</v>
      </c>
      <c r="H146" s="21">
        <v>0.81666666666666599</v>
      </c>
      <c r="I146" s="20">
        <v>0.98787878787878702</v>
      </c>
      <c r="J146" s="19">
        <v>0.15793701302546201</v>
      </c>
      <c r="K146" s="20">
        <v>1.9942957906875201</v>
      </c>
      <c r="L146" s="19">
        <v>6.1025170600156498E-2</v>
      </c>
      <c r="M146" s="20">
        <v>1.1403377357937901</v>
      </c>
    </row>
    <row r="147" spans="2:13" x14ac:dyDescent="0.3">
      <c r="B147" s="30">
        <v>4</v>
      </c>
      <c r="C147" s="1" t="s">
        <v>108</v>
      </c>
      <c r="D147" s="1" t="s">
        <v>34</v>
      </c>
      <c r="E147" s="1" t="s">
        <v>35</v>
      </c>
      <c r="F147" s="16">
        <v>5.9073190567993199E-2</v>
      </c>
      <c r="G147" s="17">
        <v>3.6318494578517999</v>
      </c>
      <c r="H147" s="18">
        <v>0.86666666666666603</v>
      </c>
      <c r="I147" s="17">
        <v>0.96363636363636296</v>
      </c>
      <c r="J147" s="16">
        <v>0.15849437980162101</v>
      </c>
      <c r="K147" s="17">
        <v>1.9635241435822299</v>
      </c>
      <c r="L147" s="16">
        <v>5.7165736760667503E-2</v>
      </c>
      <c r="M147" s="17">
        <v>1.04523479920439</v>
      </c>
    </row>
    <row r="148" spans="2:13" x14ac:dyDescent="0.3">
      <c r="B148" s="30"/>
      <c r="C148" s="1" t="s">
        <v>109</v>
      </c>
      <c r="D148" s="1" t="s">
        <v>34</v>
      </c>
      <c r="E148" s="1" t="s">
        <v>35</v>
      </c>
      <c r="F148" s="16">
        <v>5.8887701126271202E-2</v>
      </c>
      <c r="G148" s="17">
        <v>3.5707856585848501</v>
      </c>
      <c r="H148" s="18">
        <v>0.82499999999999996</v>
      </c>
      <c r="I148" s="17">
        <v>0.999999999999999</v>
      </c>
      <c r="J148" s="16">
        <v>0.15381304108941399</v>
      </c>
      <c r="K148" s="17">
        <v>1.91757265323154</v>
      </c>
      <c r="L148" s="16">
        <v>5.2754296769628103E-2</v>
      </c>
      <c r="M148" s="17">
        <v>0.93482985839132005</v>
      </c>
    </row>
    <row r="149" spans="2:13" x14ac:dyDescent="0.3">
      <c r="B149" s="30"/>
      <c r="C149" s="1" t="s">
        <v>110</v>
      </c>
      <c r="D149" s="1" t="s">
        <v>34</v>
      </c>
      <c r="E149" s="1" t="s">
        <v>35</v>
      </c>
      <c r="F149" s="16">
        <v>5.8819340924382402E-2</v>
      </c>
      <c r="G149" s="17">
        <v>3.69701335726318</v>
      </c>
      <c r="H149" s="18">
        <v>0.86666666666666603</v>
      </c>
      <c r="I149" s="17">
        <v>0.98787878787878702</v>
      </c>
      <c r="J149" s="16">
        <v>0.15871768390240101</v>
      </c>
      <c r="K149" s="17">
        <v>2.0871095091019001</v>
      </c>
      <c r="L149" s="16">
        <v>6.1158137334572198E-2</v>
      </c>
      <c r="M149" s="17">
        <v>1.1942201904387499</v>
      </c>
    </row>
    <row r="150" spans="2:13" x14ac:dyDescent="0.3">
      <c r="B150" s="30"/>
      <c r="C150" s="1" t="s">
        <v>111</v>
      </c>
      <c r="D150" s="1" t="s">
        <v>34</v>
      </c>
      <c r="E150" s="1" t="s">
        <v>35</v>
      </c>
      <c r="F150" s="16">
        <v>5.86318731298901E-2</v>
      </c>
      <c r="G150" s="17">
        <v>3.5440402831772402</v>
      </c>
      <c r="H150" s="18">
        <v>0.85</v>
      </c>
      <c r="I150" s="17">
        <v>0.96363636363636296</v>
      </c>
      <c r="J150" s="16">
        <v>0.14941189351283801</v>
      </c>
      <c r="K150" s="17">
        <v>1.81991074516033</v>
      </c>
      <c r="L150" s="16">
        <v>5.3200030007691801E-2</v>
      </c>
      <c r="M150" s="17">
        <v>0.93429376237224204</v>
      </c>
    </row>
    <row r="151" spans="2:13" x14ac:dyDescent="0.3">
      <c r="B151" s="30"/>
      <c r="C151" s="1" t="s">
        <v>112</v>
      </c>
      <c r="D151" s="1" t="s">
        <v>34</v>
      </c>
      <c r="E151" s="1" t="s">
        <v>35</v>
      </c>
      <c r="F151" s="16">
        <v>5.8594767425851998E-2</v>
      </c>
      <c r="G151" s="17">
        <v>3.6073573669608199</v>
      </c>
      <c r="H151" s="18">
        <v>0.85833333333333295</v>
      </c>
      <c r="I151" s="17">
        <v>0.98787878787878702</v>
      </c>
      <c r="J151" s="16">
        <v>0.15574200526805099</v>
      </c>
      <c r="K151" s="17">
        <v>1.9327045214470999</v>
      </c>
      <c r="L151" s="16">
        <v>5.9441586020165499E-2</v>
      </c>
      <c r="M151" s="17">
        <v>1.0815030987254499</v>
      </c>
    </row>
    <row r="153" spans="2:13" x14ac:dyDescent="0.3">
      <c r="B153" s="1" t="s">
        <v>115</v>
      </c>
    </row>
    <row r="154" spans="2:13" x14ac:dyDescent="0.3">
      <c r="B154" s="5" t="s">
        <v>36</v>
      </c>
      <c r="C154" s="5" t="s">
        <v>31</v>
      </c>
      <c r="D154" s="5" t="s">
        <v>4</v>
      </c>
      <c r="E154" s="5" t="s">
        <v>37</v>
      </c>
      <c r="F154" s="5" t="s">
        <v>38</v>
      </c>
      <c r="G154" s="5" t="s">
        <v>39</v>
      </c>
      <c r="H154" s="5" t="s">
        <v>40</v>
      </c>
      <c r="I154" s="5" t="s">
        <v>44</v>
      </c>
      <c r="J154" s="5" t="s">
        <v>41</v>
      </c>
      <c r="K154" s="5" t="s">
        <v>45</v>
      </c>
      <c r="L154" s="5" t="s">
        <v>42</v>
      </c>
    </row>
    <row r="155" spans="2:13" x14ac:dyDescent="0.3">
      <c r="B155" s="1" t="s">
        <v>114</v>
      </c>
      <c r="C155" s="1" t="s">
        <v>34</v>
      </c>
      <c r="D155" s="1" t="s">
        <v>35</v>
      </c>
      <c r="E155" s="16">
        <v>5.2632999999999999E-2</v>
      </c>
      <c r="F155" s="17">
        <v>2.6472859999999998</v>
      </c>
      <c r="G155" s="18">
        <v>0.79166700000000001</v>
      </c>
      <c r="H155" s="17">
        <v>0.951515</v>
      </c>
      <c r="I155" s="16">
        <v>0.129855</v>
      </c>
      <c r="J155" s="17">
        <v>1.4191370000000001</v>
      </c>
      <c r="K155" s="16">
        <v>4.0910000000000002E-2</v>
      </c>
      <c r="L155" s="17">
        <v>0.52500899999999995</v>
      </c>
    </row>
    <row r="156" spans="2:13" x14ac:dyDescent="0.3">
      <c r="B156" s="1" t="s">
        <v>122</v>
      </c>
      <c r="C156" s="1" t="s">
        <v>34</v>
      </c>
      <c r="D156" s="1" t="s">
        <v>35</v>
      </c>
      <c r="E156" s="16">
        <v>5.8989184158697902E-2</v>
      </c>
      <c r="F156" s="17">
        <v>3.6184507629814799</v>
      </c>
      <c r="G156" s="18">
        <v>0.84166666666666601</v>
      </c>
      <c r="H156" s="17">
        <v>0.999999999999999</v>
      </c>
      <c r="I156" s="16">
        <v>0.162746512584417</v>
      </c>
      <c r="J156" s="17">
        <v>2.0852169057548098</v>
      </c>
      <c r="K156" s="16">
        <v>6.4016835774335507E-2</v>
      </c>
      <c r="L156" s="17">
        <v>1.2645249998515899</v>
      </c>
    </row>
    <row r="158" spans="2:13" x14ac:dyDescent="0.3">
      <c r="B158" s="1" t="s">
        <v>116</v>
      </c>
    </row>
    <row r="159" spans="2:13" x14ac:dyDescent="0.3">
      <c r="B159" s="1" t="s">
        <v>117</v>
      </c>
    </row>
    <row r="160" spans="2:13" x14ac:dyDescent="0.3">
      <c r="B160" s="5" t="s">
        <v>36</v>
      </c>
      <c r="C160" s="5" t="s">
        <v>31</v>
      </c>
      <c r="D160" s="5" t="s">
        <v>4</v>
      </c>
      <c r="E160" s="5" t="s">
        <v>37</v>
      </c>
      <c r="F160" s="5" t="s">
        <v>38</v>
      </c>
      <c r="G160" s="5" t="s">
        <v>39</v>
      </c>
      <c r="H160" s="5" t="s">
        <v>40</v>
      </c>
      <c r="I160" s="5" t="s">
        <v>44</v>
      </c>
      <c r="J160" s="5" t="s">
        <v>41</v>
      </c>
      <c r="K160" s="5" t="s">
        <v>45</v>
      </c>
      <c r="L160" s="5" t="s">
        <v>42</v>
      </c>
    </row>
    <row r="161" spans="2:12" x14ac:dyDescent="0.3">
      <c r="B161" s="1" t="s">
        <v>16</v>
      </c>
      <c r="C161" s="1" t="s">
        <v>34</v>
      </c>
      <c r="D161" s="1" t="s">
        <v>35</v>
      </c>
      <c r="E161" s="16">
        <v>4.7764000000000001E-2</v>
      </c>
      <c r="F161" s="17">
        <v>1.74071</v>
      </c>
      <c r="G161" s="18">
        <v>0.66666700000000001</v>
      </c>
      <c r="H161" s="17">
        <v>0.87878800000000001</v>
      </c>
      <c r="I161" s="16">
        <v>0.112744</v>
      </c>
      <c r="J161" s="17">
        <v>0.94928299999999999</v>
      </c>
      <c r="K161" s="16">
        <v>2.5429E-2</v>
      </c>
      <c r="L161" s="17">
        <v>0.30568400000000001</v>
      </c>
    </row>
    <row r="162" spans="2:12" x14ac:dyDescent="0.3">
      <c r="B162" s="1" t="s">
        <v>121</v>
      </c>
      <c r="C162" s="1" t="s">
        <v>34</v>
      </c>
      <c r="D162" s="1" t="s">
        <v>35</v>
      </c>
      <c r="E162" s="16">
        <v>5.4114372156738297E-2</v>
      </c>
      <c r="F162" s="17">
        <v>2.1179313968089399</v>
      </c>
      <c r="G162" s="18">
        <v>0.72499999999999998</v>
      </c>
      <c r="H162" s="17">
        <v>0.98787878787878702</v>
      </c>
      <c r="I162" s="16">
        <v>0.13186172025995799</v>
      </c>
      <c r="J162" s="17">
        <v>1.1913437753396501</v>
      </c>
      <c r="K162" s="16">
        <v>3.55309149167993E-2</v>
      </c>
      <c r="L162" s="17">
        <v>0.53422999800756099</v>
      </c>
    </row>
    <row r="164" spans="2:12" x14ac:dyDescent="0.3">
      <c r="B164" s="1" t="s">
        <v>118</v>
      </c>
    </row>
    <row r="165" spans="2:12" x14ac:dyDescent="0.3">
      <c r="B165" s="5" t="s">
        <v>36</v>
      </c>
      <c r="C165" s="5" t="s">
        <v>31</v>
      </c>
      <c r="D165" s="5" t="s">
        <v>4</v>
      </c>
      <c r="E165" s="5" t="s">
        <v>37</v>
      </c>
      <c r="F165" s="5" t="s">
        <v>38</v>
      </c>
      <c r="G165" s="5" t="s">
        <v>39</v>
      </c>
      <c r="H165" s="5" t="s">
        <v>40</v>
      </c>
      <c r="I165" s="5" t="s">
        <v>44</v>
      </c>
      <c r="J165" s="5" t="s">
        <v>41</v>
      </c>
      <c r="K165" s="5" t="s">
        <v>45</v>
      </c>
      <c r="L165" s="5" t="s">
        <v>42</v>
      </c>
    </row>
    <row r="166" spans="2:12" x14ac:dyDescent="0.3">
      <c r="B166" s="1" t="s">
        <v>17</v>
      </c>
      <c r="C166" s="1" t="s">
        <v>34</v>
      </c>
      <c r="D166" s="1" t="s">
        <v>35</v>
      </c>
      <c r="E166" s="16">
        <v>5.3428999999999997E-2</v>
      </c>
      <c r="F166" s="17">
        <v>2.3652709999999999</v>
      </c>
      <c r="G166" s="18">
        <v>0.74166699999999997</v>
      </c>
      <c r="H166" s="17">
        <v>0.96363600000000005</v>
      </c>
      <c r="I166" s="16">
        <v>8.6636000000000005E-2</v>
      </c>
      <c r="J166" s="17">
        <v>0.62325799999999998</v>
      </c>
      <c r="K166" s="16">
        <v>3.7166999999999999E-2</v>
      </c>
      <c r="L166" s="17">
        <v>0.43875599999999998</v>
      </c>
    </row>
    <row r="167" spans="2:12" x14ac:dyDescent="0.3">
      <c r="B167" s="1" t="s">
        <v>123</v>
      </c>
      <c r="C167" s="1" t="s">
        <v>34</v>
      </c>
      <c r="D167" s="1" t="s">
        <v>35</v>
      </c>
      <c r="E167" s="16">
        <v>6.1733824664832598E-2</v>
      </c>
      <c r="F167" s="17">
        <v>3.2285081320949498</v>
      </c>
      <c r="G167" s="18">
        <v>0.8</v>
      </c>
      <c r="H167" s="17">
        <v>0.98787878787878702</v>
      </c>
      <c r="I167" s="16">
        <v>0.11710932496584001</v>
      </c>
      <c r="J167" s="17">
        <v>1.15922647230841</v>
      </c>
      <c r="K167" s="16">
        <v>5.5223257609105798E-2</v>
      </c>
      <c r="L167" s="17">
        <v>0.78916493987180403</v>
      </c>
    </row>
    <row r="169" spans="2:12" x14ac:dyDescent="0.3">
      <c r="B169" s="1" t="s">
        <v>120</v>
      </c>
    </row>
    <row r="170" spans="2:12" x14ac:dyDescent="0.3">
      <c r="B170" s="5" t="s">
        <v>36</v>
      </c>
      <c r="C170" s="5" t="s">
        <v>31</v>
      </c>
      <c r="D170" s="5" t="s">
        <v>4</v>
      </c>
      <c r="E170" s="5" t="s">
        <v>37</v>
      </c>
      <c r="F170" s="5" t="s">
        <v>38</v>
      </c>
      <c r="G170" s="5" t="s">
        <v>39</v>
      </c>
      <c r="H170" s="5" t="s">
        <v>40</v>
      </c>
      <c r="I170" s="5" t="s">
        <v>44</v>
      </c>
      <c r="J170" s="5" t="s">
        <v>41</v>
      </c>
      <c r="K170" s="5" t="s">
        <v>45</v>
      </c>
      <c r="L170" s="5" t="s">
        <v>42</v>
      </c>
    </row>
    <row r="171" spans="2:12" x14ac:dyDescent="0.3">
      <c r="B171" s="1" t="s">
        <v>18</v>
      </c>
      <c r="C171" s="1" t="s">
        <v>34</v>
      </c>
      <c r="D171" s="1" t="s">
        <v>35</v>
      </c>
      <c r="E171" s="16">
        <v>3.5943999999999997E-2</v>
      </c>
      <c r="F171" s="17">
        <v>1.838255</v>
      </c>
      <c r="G171" s="18">
        <v>0.70833299999999999</v>
      </c>
      <c r="H171" s="17">
        <v>0.97575800000000001</v>
      </c>
      <c r="I171" s="16">
        <v>9.6245999999999998E-2</v>
      </c>
      <c r="J171" s="17">
        <v>1.278805</v>
      </c>
      <c r="K171" s="16">
        <v>3.3744000000000003E-2</v>
      </c>
      <c r="L171" s="17">
        <v>0.56989000000000001</v>
      </c>
    </row>
    <row r="172" spans="2:12" x14ac:dyDescent="0.3">
      <c r="B172" s="1" t="s">
        <v>124</v>
      </c>
      <c r="C172" s="1" t="s">
        <v>34</v>
      </c>
      <c r="D172" s="1" t="s">
        <v>35</v>
      </c>
      <c r="E172" s="16">
        <v>4.6213345293272798E-2</v>
      </c>
      <c r="F172" s="17">
        <v>2.5401777748571002</v>
      </c>
      <c r="G172" s="18">
        <v>0.75833333333333297</v>
      </c>
      <c r="H172" s="17">
        <v>0.999999999999999</v>
      </c>
      <c r="I172" s="16">
        <v>0.118738274918942</v>
      </c>
      <c r="J172" s="17">
        <v>1.26813584540758</v>
      </c>
      <c r="K172" s="16">
        <v>4.1422936380060102E-2</v>
      </c>
      <c r="L172" s="17">
        <v>0.84390446790076701</v>
      </c>
    </row>
    <row r="174" spans="2:12" x14ac:dyDescent="0.3">
      <c r="B174" s="1" t="s">
        <v>119</v>
      </c>
    </row>
    <row r="175" spans="2:12" x14ac:dyDescent="0.3">
      <c r="B175" s="5" t="s">
        <v>36</v>
      </c>
      <c r="C175" s="5" t="s">
        <v>31</v>
      </c>
      <c r="D175" s="5" t="s">
        <v>4</v>
      </c>
      <c r="E175" s="5" t="s">
        <v>37</v>
      </c>
      <c r="F175" s="5" t="s">
        <v>38</v>
      </c>
      <c r="G175" s="5" t="s">
        <v>39</v>
      </c>
      <c r="H175" s="5" t="s">
        <v>40</v>
      </c>
      <c r="I175" s="5" t="s">
        <v>44</v>
      </c>
      <c r="J175" s="5" t="s">
        <v>41</v>
      </c>
      <c r="K175" s="5" t="s">
        <v>45</v>
      </c>
      <c r="L175" s="5" t="s">
        <v>42</v>
      </c>
    </row>
    <row r="176" spans="2:12" x14ac:dyDescent="0.3">
      <c r="B176" s="1" t="s">
        <v>22</v>
      </c>
      <c r="C176" s="1" t="s">
        <v>34</v>
      </c>
      <c r="D176" s="1" t="s">
        <v>35</v>
      </c>
      <c r="E176" s="16">
        <v>4.9869999999999998E-2</v>
      </c>
      <c r="F176" s="17">
        <v>1.9144490000000001</v>
      </c>
      <c r="G176" s="18">
        <v>0.75</v>
      </c>
      <c r="H176" s="17">
        <v>0.93939399999999995</v>
      </c>
      <c r="I176" s="16">
        <v>7.3977000000000001E-2</v>
      </c>
      <c r="J176" s="17">
        <v>0.44075300000000001</v>
      </c>
      <c r="K176" s="16">
        <v>3.2037000000000003E-2</v>
      </c>
      <c r="L176" s="17">
        <v>0.37606299999999998</v>
      </c>
    </row>
    <row r="177" spans="2:12" x14ac:dyDescent="0.3">
      <c r="B177" s="1" t="s">
        <v>125</v>
      </c>
      <c r="C177" s="1" t="s">
        <v>34</v>
      </c>
      <c r="D177" s="1" t="s">
        <v>35</v>
      </c>
      <c r="E177" s="16">
        <v>5.0076927987870098E-2</v>
      </c>
      <c r="F177" s="17">
        <v>2.5616942671962502</v>
      </c>
      <c r="G177" s="18">
        <v>0.76666666666666605</v>
      </c>
      <c r="H177" s="17">
        <v>0.999999999999999</v>
      </c>
      <c r="I177" s="16">
        <v>0.11491307715443801</v>
      </c>
      <c r="J177" s="17">
        <v>1.07884229287648</v>
      </c>
      <c r="K177" s="16">
        <v>5.7792975944737097E-2</v>
      </c>
      <c r="L177" s="17">
        <v>1.0590374406445899</v>
      </c>
    </row>
    <row r="178" spans="2:12" x14ac:dyDescent="0.3">
      <c r="E178" s="16"/>
      <c r="F178" s="17"/>
      <c r="G178" s="18"/>
      <c r="H178" s="17"/>
      <c r="I178" s="16"/>
      <c r="J178" s="17"/>
      <c r="K178" s="16"/>
      <c r="L178" s="17"/>
    </row>
    <row r="179" spans="2:12" x14ac:dyDescent="0.3">
      <c r="B179" s="1" t="s">
        <v>197</v>
      </c>
    </row>
    <row r="181" spans="2:12" x14ac:dyDescent="0.3">
      <c r="B181" s="1" t="s">
        <v>130</v>
      </c>
    </row>
    <row r="182" spans="2:12" x14ac:dyDescent="0.3">
      <c r="B182" s="5" t="s">
        <v>36</v>
      </c>
      <c r="C182" s="5" t="s">
        <v>31</v>
      </c>
      <c r="D182" s="5" t="s">
        <v>4</v>
      </c>
      <c r="E182" s="5" t="s">
        <v>37</v>
      </c>
      <c r="F182" s="5" t="s">
        <v>38</v>
      </c>
      <c r="G182" s="5" t="s">
        <v>39</v>
      </c>
      <c r="H182" s="5" t="s">
        <v>40</v>
      </c>
      <c r="I182" s="5" t="s">
        <v>44</v>
      </c>
      <c r="J182" s="5" t="s">
        <v>41</v>
      </c>
      <c r="K182" s="5" t="s">
        <v>45</v>
      </c>
      <c r="L182" s="5" t="s">
        <v>42</v>
      </c>
    </row>
    <row r="183" spans="2:12" x14ac:dyDescent="0.3">
      <c r="B183" s="1" t="s">
        <v>121</v>
      </c>
      <c r="C183" s="1" t="s">
        <v>34</v>
      </c>
      <c r="D183" s="1" t="s">
        <v>35</v>
      </c>
      <c r="E183" s="16">
        <v>5.4114372156738297E-2</v>
      </c>
      <c r="F183" s="17">
        <v>2.1179313968089399</v>
      </c>
      <c r="G183" s="18">
        <v>0.72499999999999998</v>
      </c>
      <c r="H183" s="17">
        <v>0.98787878787878702</v>
      </c>
      <c r="I183" s="16">
        <v>0.13186172025995799</v>
      </c>
      <c r="J183" s="17">
        <v>1.1913437753396501</v>
      </c>
      <c r="K183" s="16">
        <v>3.55309149167993E-2</v>
      </c>
      <c r="L183" s="17">
        <v>0.53422999800756099</v>
      </c>
    </row>
    <row r="184" spans="2:12" x14ac:dyDescent="0.3">
      <c r="B184" s="1" t="s">
        <v>123</v>
      </c>
      <c r="C184" s="1" t="s">
        <v>34</v>
      </c>
      <c r="D184" s="1" t="s">
        <v>35</v>
      </c>
      <c r="E184" s="16">
        <v>6.1733824664832598E-2</v>
      </c>
      <c r="F184" s="17">
        <v>3.2285081320949498</v>
      </c>
      <c r="G184" s="18">
        <v>0.8</v>
      </c>
      <c r="H184" s="17">
        <v>0.98787878787878702</v>
      </c>
      <c r="I184" s="16">
        <v>0.11710932496584001</v>
      </c>
      <c r="J184" s="17">
        <v>1.15922647230841</v>
      </c>
      <c r="K184" s="16">
        <v>5.5223257609105798E-2</v>
      </c>
      <c r="L184" s="17">
        <v>0.78916493987180403</v>
      </c>
    </row>
    <row r="185" spans="2:12" x14ac:dyDescent="0.3">
      <c r="B185" s="1" t="s">
        <v>124</v>
      </c>
      <c r="C185" s="1" t="s">
        <v>34</v>
      </c>
      <c r="D185" s="1" t="s">
        <v>35</v>
      </c>
      <c r="E185" s="16">
        <v>4.6213345293272798E-2</v>
      </c>
      <c r="F185" s="17">
        <v>2.5401777748571002</v>
      </c>
      <c r="G185" s="18">
        <v>0.75833333333333297</v>
      </c>
      <c r="H185" s="17">
        <v>0.999999999999999</v>
      </c>
      <c r="I185" s="16">
        <v>0.118738274918942</v>
      </c>
      <c r="J185" s="17">
        <v>1.26813584540758</v>
      </c>
      <c r="K185" s="16">
        <v>4.1422936380060102E-2</v>
      </c>
      <c r="L185" s="17">
        <v>0.84390446790076701</v>
      </c>
    </row>
    <row r="186" spans="2:12" x14ac:dyDescent="0.3">
      <c r="B186" s="1" t="s">
        <v>122</v>
      </c>
      <c r="C186" s="1" t="s">
        <v>34</v>
      </c>
      <c r="D186" s="1" t="s">
        <v>35</v>
      </c>
      <c r="E186" s="16">
        <v>5.8989184158697902E-2</v>
      </c>
      <c r="F186" s="17">
        <v>3.6184507629814799</v>
      </c>
      <c r="G186" s="18">
        <v>0.84166666666666601</v>
      </c>
      <c r="H186" s="17">
        <v>0.999999999999999</v>
      </c>
      <c r="I186" s="16">
        <v>0.162746512584417</v>
      </c>
      <c r="J186" s="17">
        <v>2.0852169057548098</v>
      </c>
      <c r="K186" s="16">
        <v>6.4016835774335507E-2</v>
      </c>
      <c r="L186" s="17">
        <v>1.2645249998515899</v>
      </c>
    </row>
    <row r="187" spans="2:12" x14ac:dyDescent="0.3">
      <c r="B187" s="1" t="s">
        <v>125</v>
      </c>
      <c r="C187" s="1" t="s">
        <v>34</v>
      </c>
      <c r="D187" s="1" t="s">
        <v>35</v>
      </c>
      <c r="E187" s="16">
        <v>5.0076927987870098E-2</v>
      </c>
      <c r="F187" s="17">
        <v>2.5616942671962502</v>
      </c>
      <c r="G187" s="18">
        <v>0.76666666666666605</v>
      </c>
      <c r="H187" s="17">
        <v>0.999999999999999</v>
      </c>
      <c r="I187" s="16">
        <v>0.11491307715443801</v>
      </c>
      <c r="J187" s="17">
        <v>1.07884229287648</v>
      </c>
      <c r="K187" s="16">
        <v>5.7792975944737097E-2</v>
      </c>
      <c r="L187" s="17">
        <v>1.0590374406445899</v>
      </c>
    </row>
    <row r="188" spans="2:12" x14ac:dyDescent="0.3">
      <c r="B188" s="1" t="s">
        <v>25</v>
      </c>
      <c r="C188" s="1" t="s">
        <v>34</v>
      </c>
      <c r="D188" s="1" t="s">
        <v>35</v>
      </c>
      <c r="E188" s="16">
        <v>3.8879999999999998E-2</v>
      </c>
      <c r="F188" s="17">
        <v>2.0946199999999999</v>
      </c>
      <c r="G188" s="18">
        <v>0.72499999999999998</v>
      </c>
      <c r="H188" s="17">
        <v>0.87878800000000001</v>
      </c>
      <c r="I188" s="16">
        <v>6.0360999999999998E-2</v>
      </c>
      <c r="J188" s="17">
        <v>0.59026699999999999</v>
      </c>
      <c r="K188" s="16">
        <v>2.0691999999999999E-2</v>
      </c>
      <c r="L188" s="17">
        <v>0.250745</v>
      </c>
    </row>
    <row r="189" spans="2:12" x14ac:dyDescent="0.3">
      <c r="B189" s="1" t="s">
        <v>28</v>
      </c>
      <c r="C189" s="1" t="s">
        <v>34</v>
      </c>
      <c r="D189" s="1" t="s">
        <v>35</v>
      </c>
      <c r="E189" s="16">
        <v>3.2210000000000003E-2</v>
      </c>
      <c r="F189" s="17">
        <v>1.4476180000000001</v>
      </c>
      <c r="G189" s="18">
        <v>0.7</v>
      </c>
      <c r="H189" s="17">
        <v>0.79393899999999995</v>
      </c>
      <c r="I189" s="16">
        <v>7.3893E-2</v>
      </c>
      <c r="J189" s="17">
        <v>0.72128999999999999</v>
      </c>
      <c r="K189" s="16">
        <v>2.4205000000000001E-2</v>
      </c>
      <c r="L189" s="17">
        <v>0.36508400000000002</v>
      </c>
    </row>
    <row r="190" spans="2:12" x14ac:dyDescent="0.3">
      <c r="B190" s="1" t="s">
        <v>196</v>
      </c>
      <c r="C190" s="1" t="s">
        <v>34</v>
      </c>
      <c r="D190" s="1" t="s">
        <v>35</v>
      </c>
      <c r="E190" s="16">
        <f t="array" ref="E190:L190">[1]!'!Summary!R55C5:R55C12'</f>
        <v>3.5237999999999998E-2</v>
      </c>
      <c r="F190" s="17">
        <v>2.2978000000000001</v>
      </c>
      <c r="G190" s="18">
        <v>0.793103</v>
      </c>
      <c r="H190" s="17">
        <v>0.78181800000000001</v>
      </c>
      <c r="I190" s="16">
        <v>0.14169699999999999</v>
      </c>
      <c r="J190" s="17">
        <v>1.7446280000000001</v>
      </c>
      <c r="K190" s="16">
        <v>0.10235900000000001</v>
      </c>
      <c r="L190" s="17">
        <v>1.7131320000000001</v>
      </c>
    </row>
    <row r="192" spans="2:12" x14ac:dyDescent="0.3">
      <c r="B192" s="1" t="s">
        <v>213</v>
      </c>
    </row>
    <row r="193" spans="2:14" x14ac:dyDescent="0.3">
      <c r="B193" s="5" t="s">
        <v>65</v>
      </c>
      <c r="C193" s="5" t="s">
        <v>36</v>
      </c>
      <c r="D193" s="5" t="s">
        <v>31</v>
      </c>
      <c r="E193" s="5" t="s">
        <v>4</v>
      </c>
      <c r="F193" s="5" t="s">
        <v>37</v>
      </c>
      <c r="G193" s="5" t="s">
        <v>38</v>
      </c>
      <c r="H193" s="5" t="s">
        <v>39</v>
      </c>
      <c r="I193" s="5" t="s">
        <v>40</v>
      </c>
      <c r="J193" s="5" t="s">
        <v>44</v>
      </c>
      <c r="K193" s="5" t="s">
        <v>41</v>
      </c>
      <c r="L193" s="5" t="s">
        <v>45</v>
      </c>
      <c r="M193" s="5" t="s">
        <v>42</v>
      </c>
    </row>
    <row r="194" spans="2:14" x14ac:dyDescent="0.3">
      <c r="B194" s="26">
        <v>2</v>
      </c>
      <c r="C194" s="4" t="s">
        <v>198</v>
      </c>
      <c r="D194" s="4" t="s">
        <v>34</v>
      </c>
      <c r="E194" s="4" t="s">
        <v>35</v>
      </c>
      <c r="F194" s="13">
        <v>7.2222999999999996E-2</v>
      </c>
      <c r="G194" s="14">
        <v>3.6189439999999999</v>
      </c>
      <c r="H194" s="15">
        <v>0.83333299999999999</v>
      </c>
      <c r="I194" s="14">
        <v>0.98787899999999995</v>
      </c>
      <c r="J194" s="13">
        <v>0.17166400000000001</v>
      </c>
      <c r="K194" s="14">
        <v>1.656768</v>
      </c>
      <c r="L194" s="13">
        <v>6.5673999999999996E-2</v>
      </c>
      <c r="M194" s="14">
        <v>1.078325</v>
      </c>
      <c r="N194" s="1" t="s">
        <v>46</v>
      </c>
    </row>
    <row r="195" spans="2:14" x14ac:dyDescent="0.3">
      <c r="B195" s="28"/>
      <c r="C195" s="1" t="s">
        <v>199</v>
      </c>
      <c r="D195" s="1" t="s">
        <v>34</v>
      </c>
      <c r="E195" s="1" t="s">
        <v>35</v>
      </c>
      <c r="F195" s="16">
        <v>6.7833000000000004E-2</v>
      </c>
      <c r="G195" s="17">
        <v>3.1320800000000002</v>
      </c>
      <c r="H195" s="18">
        <v>0.82499999999999996</v>
      </c>
      <c r="I195" s="17">
        <v>1</v>
      </c>
      <c r="J195" s="16">
        <v>0.15471199999999999</v>
      </c>
      <c r="K195" s="17">
        <v>1.3647290000000001</v>
      </c>
      <c r="L195" s="16">
        <v>7.1783E-2</v>
      </c>
      <c r="M195" s="17">
        <v>1.121537</v>
      </c>
    </row>
    <row r="196" spans="2:14" x14ac:dyDescent="0.3">
      <c r="B196" s="28"/>
      <c r="C196" s="1" t="s">
        <v>200</v>
      </c>
      <c r="D196" s="1" t="s">
        <v>34</v>
      </c>
      <c r="E196" s="1" t="s">
        <v>35</v>
      </c>
      <c r="F196" s="16">
        <v>6.7575999999999997E-2</v>
      </c>
      <c r="G196" s="17">
        <v>2.971679</v>
      </c>
      <c r="H196" s="18">
        <v>0.8</v>
      </c>
      <c r="I196" s="17">
        <v>0.98787899999999995</v>
      </c>
      <c r="J196" s="16">
        <v>0.175784</v>
      </c>
      <c r="K196" s="17">
        <v>1.625048</v>
      </c>
      <c r="L196" s="16">
        <v>6.1351000000000003E-2</v>
      </c>
      <c r="M196" s="17">
        <v>1.036799</v>
      </c>
    </row>
    <row r="197" spans="2:14" x14ac:dyDescent="0.3">
      <c r="B197" s="28"/>
      <c r="C197" s="1" t="s">
        <v>201</v>
      </c>
      <c r="D197" s="1" t="s">
        <v>34</v>
      </c>
      <c r="E197" s="1" t="s">
        <v>35</v>
      </c>
      <c r="F197" s="16">
        <v>6.7045999999999994E-2</v>
      </c>
      <c r="G197" s="17">
        <v>3.0406740000000001</v>
      </c>
      <c r="H197" s="18">
        <v>0.80833299999999997</v>
      </c>
      <c r="I197" s="17">
        <v>0.98787899999999995</v>
      </c>
      <c r="J197" s="16">
        <v>0.16906299999999999</v>
      </c>
      <c r="K197" s="17">
        <v>1.5849120000000001</v>
      </c>
      <c r="L197" s="16">
        <v>6.7783999999999997E-2</v>
      </c>
      <c r="M197" s="17">
        <v>1.0714669999999999</v>
      </c>
    </row>
    <row r="198" spans="2:14" x14ac:dyDescent="0.3">
      <c r="B198" s="31"/>
      <c r="C198" s="5" t="s">
        <v>202</v>
      </c>
      <c r="D198" s="5" t="s">
        <v>34</v>
      </c>
      <c r="E198" s="5" t="s">
        <v>35</v>
      </c>
      <c r="F198" s="19">
        <v>6.4489000000000005E-2</v>
      </c>
      <c r="G198" s="20">
        <v>3.2072449999999999</v>
      </c>
      <c r="H198" s="21">
        <v>0.81666700000000003</v>
      </c>
      <c r="I198" s="20">
        <v>1</v>
      </c>
      <c r="J198" s="19">
        <v>0.15573200000000001</v>
      </c>
      <c r="K198" s="20">
        <v>1.5094430000000001</v>
      </c>
      <c r="L198" s="19">
        <v>6.0317999999999997E-2</v>
      </c>
      <c r="M198" s="20">
        <v>1.0396080000000001</v>
      </c>
    </row>
    <row r="199" spans="2:14" x14ac:dyDescent="0.3">
      <c r="B199" s="26">
        <v>3</v>
      </c>
      <c r="C199" s="4" t="s">
        <v>203</v>
      </c>
      <c r="D199" s="4" t="s">
        <v>34</v>
      </c>
      <c r="E199" s="4" t="s">
        <v>35</v>
      </c>
      <c r="F199" s="13">
        <v>7.2520000000000001E-2</v>
      </c>
      <c r="G199" s="14">
        <v>3.1857359999999999</v>
      </c>
      <c r="H199" s="15">
        <v>0.82499999999999996</v>
      </c>
      <c r="I199" s="14">
        <v>1</v>
      </c>
      <c r="J199" s="13">
        <v>0.18033399999999999</v>
      </c>
      <c r="K199" s="14">
        <v>1.625391</v>
      </c>
      <c r="L199" s="13">
        <v>6.6217999999999999E-2</v>
      </c>
      <c r="M199" s="14">
        <v>1.0093430000000001</v>
      </c>
    </row>
    <row r="200" spans="2:14" x14ac:dyDescent="0.3">
      <c r="B200" s="28"/>
      <c r="C200" s="1" t="s">
        <v>204</v>
      </c>
      <c r="D200" s="1" t="s">
        <v>34</v>
      </c>
      <c r="E200" s="1" t="s">
        <v>35</v>
      </c>
      <c r="F200" s="16">
        <v>7.2359999999999994E-2</v>
      </c>
      <c r="G200" s="17">
        <v>3.183608</v>
      </c>
      <c r="H200" s="18">
        <v>0.80833299999999997</v>
      </c>
      <c r="I200" s="17">
        <v>1</v>
      </c>
      <c r="J200" s="16">
        <v>0.17655599999999999</v>
      </c>
      <c r="K200" s="17">
        <v>1.5994839999999999</v>
      </c>
      <c r="L200" s="16">
        <v>6.8808999999999995E-2</v>
      </c>
      <c r="M200" s="17">
        <v>1.0003200000000001</v>
      </c>
    </row>
    <row r="201" spans="2:14" x14ac:dyDescent="0.3">
      <c r="B201" s="28"/>
      <c r="C201" s="1" t="s">
        <v>205</v>
      </c>
      <c r="D201" s="1" t="s">
        <v>34</v>
      </c>
      <c r="E201" s="1" t="s">
        <v>35</v>
      </c>
      <c r="F201" s="16">
        <v>7.1306999999999995E-2</v>
      </c>
      <c r="G201" s="17">
        <v>3.4231009999999999</v>
      </c>
      <c r="H201" s="18">
        <v>0.82499999999999996</v>
      </c>
      <c r="I201" s="17">
        <v>1</v>
      </c>
      <c r="J201" s="16">
        <v>0.17400499999999999</v>
      </c>
      <c r="K201" s="17">
        <v>1.679737</v>
      </c>
      <c r="L201" s="16">
        <v>7.2505E-2</v>
      </c>
      <c r="M201" s="17">
        <v>1.19554</v>
      </c>
    </row>
    <row r="202" spans="2:14" x14ac:dyDescent="0.3">
      <c r="B202" s="28"/>
      <c r="C202" s="1" t="s">
        <v>206</v>
      </c>
      <c r="D202" s="1" t="s">
        <v>34</v>
      </c>
      <c r="E202" s="1" t="s">
        <v>35</v>
      </c>
      <c r="F202" s="16">
        <v>6.9971000000000005E-2</v>
      </c>
      <c r="G202" s="17">
        <v>3.2796419999999999</v>
      </c>
      <c r="H202" s="18">
        <v>0.82499999999999996</v>
      </c>
      <c r="I202" s="17">
        <v>1</v>
      </c>
      <c r="J202" s="16">
        <v>0.18895899999999999</v>
      </c>
      <c r="K202" s="17">
        <v>1.806843</v>
      </c>
      <c r="L202" s="16">
        <v>7.5621999999999995E-2</v>
      </c>
      <c r="M202" s="17">
        <v>1.2686759999999999</v>
      </c>
    </row>
    <row r="203" spans="2:14" x14ac:dyDescent="0.3">
      <c r="B203" s="31"/>
      <c r="C203" s="5" t="s">
        <v>207</v>
      </c>
      <c r="D203" s="5" t="s">
        <v>34</v>
      </c>
      <c r="E203" s="5" t="s">
        <v>35</v>
      </c>
      <c r="F203" s="19">
        <v>6.9289000000000003E-2</v>
      </c>
      <c r="G203" s="20">
        <v>3.3644440000000002</v>
      </c>
      <c r="H203" s="21">
        <v>0.83333299999999999</v>
      </c>
      <c r="I203" s="20">
        <v>1</v>
      </c>
      <c r="J203" s="19">
        <v>0.170019</v>
      </c>
      <c r="K203" s="20">
        <v>1.6042259999999999</v>
      </c>
      <c r="L203" s="19">
        <v>6.7404000000000006E-2</v>
      </c>
      <c r="M203" s="20">
        <v>1.142247</v>
      </c>
    </row>
    <row r="204" spans="2:14" x14ac:dyDescent="0.3">
      <c r="B204" s="28">
        <v>4</v>
      </c>
      <c r="C204" s="1" t="s">
        <v>208</v>
      </c>
      <c r="D204" s="1" t="s">
        <v>34</v>
      </c>
      <c r="E204" s="1" t="s">
        <v>35</v>
      </c>
      <c r="F204" s="10">
        <v>7.4657000000000001E-2</v>
      </c>
      <c r="G204" s="12">
        <v>3.353872</v>
      </c>
      <c r="H204" s="9">
        <v>0.82499999999999996</v>
      </c>
      <c r="I204" s="12">
        <v>1</v>
      </c>
      <c r="J204" s="10">
        <v>0.18348100000000001</v>
      </c>
      <c r="K204" s="12">
        <v>1.679754</v>
      </c>
      <c r="L204" s="10">
        <v>7.4144000000000002E-2</v>
      </c>
      <c r="M204" s="12">
        <v>1.1567689999999999</v>
      </c>
    </row>
    <row r="205" spans="2:14" x14ac:dyDescent="0.3">
      <c r="B205" s="28"/>
      <c r="C205" s="1" t="s">
        <v>209</v>
      </c>
      <c r="D205" s="1" t="s">
        <v>34</v>
      </c>
      <c r="E205" s="1" t="s">
        <v>35</v>
      </c>
      <c r="F205" s="10">
        <v>7.2730000000000003E-2</v>
      </c>
      <c r="G205" s="12">
        <v>3.3943310000000002</v>
      </c>
      <c r="H205" s="9">
        <v>0.82499999999999996</v>
      </c>
      <c r="I205" s="12">
        <v>0.98787899999999995</v>
      </c>
      <c r="J205" s="10">
        <v>0.18276400000000001</v>
      </c>
      <c r="K205" s="12">
        <v>1.6868380000000001</v>
      </c>
      <c r="L205" s="10">
        <v>7.1554000000000006E-2</v>
      </c>
      <c r="M205" s="12">
        <v>1.245892</v>
      </c>
    </row>
    <row r="206" spans="2:14" x14ac:dyDescent="0.3">
      <c r="B206" s="28"/>
      <c r="C206" s="1" t="s">
        <v>210</v>
      </c>
      <c r="D206" s="1" t="s">
        <v>34</v>
      </c>
      <c r="E206" s="1" t="s">
        <v>35</v>
      </c>
      <c r="F206" s="10">
        <v>7.2110999999999995E-2</v>
      </c>
      <c r="G206" s="12">
        <v>3.1933509999999998</v>
      </c>
      <c r="H206" s="9">
        <v>0.80833299999999997</v>
      </c>
      <c r="I206" s="12">
        <v>1</v>
      </c>
      <c r="J206" s="10">
        <v>0.17652999999999999</v>
      </c>
      <c r="K206" s="12">
        <v>1.59107</v>
      </c>
      <c r="L206" s="10">
        <v>7.0607000000000003E-2</v>
      </c>
      <c r="M206" s="12">
        <v>1.123461</v>
      </c>
    </row>
    <row r="207" spans="2:14" x14ac:dyDescent="0.3">
      <c r="B207" s="28"/>
      <c r="C207" s="1" t="s">
        <v>211</v>
      </c>
      <c r="D207" s="1" t="s">
        <v>34</v>
      </c>
      <c r="E207" s="1" t="s">
        <v>35</v>
      </c>
      <c r="F207" s="10">
        <v>7.1955000000000005E-2</v>
      </c>
      <c r="G207" s="12">
        <v>3.6759179999999998</v>
      </c>
      <c r="H207" s="9">
        <v>0.81666700000000003</v>
      </c>
      <c r="I207" s="12">
        <v>1</v>
      </c>
      <c r="J207" s="10">
        <v>0.199184</v>
      </c>
      <c r="K207" s="12">
        <v>2.0132099999999999</v>
      </c>
      <c r="L207" s="10">
        <v>8.6390999999999996E-2</v>
      </c>
      <c r="M207" s="12">
        <v>1.70112</v>
      </c>
    </row>
    <row r="208" spans="2:14" x14ac:dyDescent="0.3">
      <c r="B208" s="28"/>
      <c r="C208" s="1" t="s">
        <v>212</v>
      </c>
      <c r="D208" s="1" t="s">
        <v>34</v>
      </c>
      <c r="E208" s="1" t="s">
        <v>35</v>
      </c>
      <c r="F208" s="10">
        <v>7.1748999999999993E-2</v>
      </c>
      <c r="G208" s="12">
        <v>3.0017499999999999</v>
      </c>
      <c r="H208" s="9">
        <v>0.80833299999999997</v>
      </c>
      <c r="I208" s="12">
        <v>0.98787899999999995</v>
      </c>
      <c r="J208" s="10">
        <v>0.18689700000000001</v>
      </c>
      <c r="K208" s="12">
        <v>1.6477790000000001</v>
      </c>
      <c r="L208" s="10">
        <v>6.8303000000000003E-2</v>
      </c>
      <c r="M208" s="12">
        <v>0.95371799999999995</v>
      </c>
    </row>
    <row r="210" spans="2:12" x14ac:dyDescent="0.3">
      <c r="B210" s="1" t="s">
        <v>220</v>
      </c>
    </row>
    <row r="211" spans="2:12" x14ac:dyDescent="0.3">
      <c r="B211" s="5" t="s">
        <v>36</v>
      </c>
      <c r="C211" s="5" t="s">
        <v>31</v>
      </c>
      <c r="D211" s="5" t="s">
        <v>4</v>
      </c>
      <c r="E211" s="5" t="s">
        <v>37</v>
      </c>
      <c r="F211" s="5" t="s">
        <v>38</v>
      </c>
      <c r="G211" s="5" t="s">
        <v>39</v>
      </c>
      <c r="H211" s="5" t="s">
        <v>40</v>
      </c>
      <c r="I211" s="5" t="s">
        <v>44</v>
      </c>
      <c r="J211" s="5" t="s">
        <v>41</v>
      </c>
      <c r="K211" s="5" t="s">
        <v>45</v>
      </c>
      <c r="L211" s="5" t="s">
        <v>42</v>
      </c>
    </row>
    <row r="212" spans="2:12" x14ac:dyDescent="0.3">
      <c r="B212" s="1" t="s">
        <v>214</v>
      </c>
      <c r="C212" s="1" t="s">
        <v>34</v>
      </c>
      <c r="D212" s="1" t="s">
        <v>35</v>
      </c>
      <c r="E212" s="16">
        <v>6.3501253469351301E-2</v>
      </c>
      <c r="F212" s="17">
        <v>2.64208696755346</v>
      </c>
      <c r="G212" s="18">
        <v>0.79166666666666596</v>
      </c>
      <c r="H212" s="17">
        <v>0.999999999999999</v>
      </c>
      <c r="I212" s="16">
        <v>0.15540347277336999</v>
      </c>
      <c r="J212" s="17">
        <v>1.2023710741693101</v>
      </c>
      <c r="K212" s="16">
        <v>6.6830732247657801E-2</v>
      </c>
      <c r="L212" s="17">
        <v>0.97851804047123503</v>
      </c>
    </row>
    <row r="213" spans="2:12" x14ac:dyDescent="0.3">
      <c r="B213" s="1" t="s">
        <v>215</v>
      </c>
      <c r="C213" s="1" t="s">
        <v>34</v>
      </c>
      <c r="D213" s="1" t="s">
        <v>35</v>
      </c>
      <c r="E213" s="16">
        <v>7.2222999999999996E-2</v>
      </c>
      <c r="F213" s="17">
        <v>3.6189439999999999</v>
      </c>
      <c r="G213" s="18">
        <v>0.83333299999999999</v>
      </c>
      <c r="H213" s="17">
        <v>0.98787899999999995</v>
      </c>
      <c r="I213" s="16">
        <v>0.17166400000000001</v>
      </c>
      <c r="J213" s="17">
        <v>1.656768</v>
      </c>
      <c r="K213" s="16">
        <v>6.5673999999999996E-2</v>
      </c>
      <c r="L213" s="17">
        <v>1.078325</v>
      </c>
    </row>
    <row r="215" spans="2:12" x14ac:dyDescent="0.3">
      <c r="B215" s="1" t="s">
        <v>228</v>
      </c>
    </row>
    <row r="253" spans="2:2" x14ac:dyDescent="0.3">
      <c r="B253" s="1" t="s">
        <v>222</v>
      </c>
    </row>
    <row r="277" spans="2:12" x14ac:dyDescent="0.3">
      <c r="B277" s="1" t="s">
        <v>229</v>
      </c>
    </row>
    <row r="278" spans="2:12" x14ac:dyDescent="0.3">
      <c r="B278" s="5" t="s">
        <v>36</v>
      </c>
      <c r="C278" s="5" t="s">
        <v>31</v>
      </c>
      <c r="D278" s="5" t="s">
        <v>4</v>
      </c>
      <c r="E278" s="5" t="s">
        <v>37</v>
      </c>
      <c r="F278" s="5" t="s">
        <v>38</v>
      </c>
      <c r="G278" s="5" t="s">
        <v>39</v>
      </c>
      <c r="H278" s="5" t="s">
        <v>40</v>
      </c>
      <c r="I278" s="5" t="s">
        <v>44</v>
      </c>
      <c r="J278" s="5" t="s">
        <v>41</v>
      </c>
      <c r="K278" s="5" t="s">
        <v>45</v>
      </c>
      <c r="L278" s="5" t="s">
        <v>42</v>
      </c>
    </row>
    <row r="279" spans="2:12" x14ac:dyDescent="0.3">
      <c r="B279" s="29" t="s">
        <v>215</v>
      </c>
      <c r="C279" s="1" t="s">
        <v>34</v>
      </c>
      <c r="D279" s="1" t="s">
        <v>216</v>
      </c>
      <c r="E279" s="10">
        <v>3.2853E-2</v>
      </c>
      <c r="F279" s="12">
        <v>0.79478599999999999</v>
      </c>
      <c r="G279" s="9">
        <v>0.59166700000000005</v>
      </c>
      <c r="H279" s="12">
        <v>0.80606100000000003</v>
      </c>
      <c r="I279" s="10">
        <v>3.8857000000000003E-2</v>
      </c>
      <c r="J279" s="12">
        <v>0.13333500000000001</v>
      </c>
      <c r="K279" s="10">
        <v>1.2102999999999999E-2</v>
      </c>
      <c r="L279" s="12">
        <v>0.14158899999999999</v>
      </c>
    </row>
    <row r="280" spans="2:12" x14ac:dyDescent="0.3">
      <c r="B280" s="30"/>
      <c r="C280" s="1" t="s">
        <v>34</v>
      </c>
      <c r="D280" s="1" t="s">
        <v>217</v>
      </c>
      <c r="E280" s="10">
        <v>5.4894999999999999E-2</v>
      </c>
      <c r="F280" s="12">
        <v>1.7690189999999999</v>
      </c>
      <c r="G280" s="9">
        <v>0.69166700000000003</v>
      </c>
      <c r="H280" s="12">
        <v>1</v>
      </c>
      <c r="I280" s="10">
        <v>0.10841199999999999</v>
      </c>
      <c r="J280" s="12">
        <v>0.70150000000000001</v>
      </c>
      <c r="K280" s="10">
        <v>4.5557E-2</v>
      </c>
      <c r="L280" s="12">
        <v>0.60428099999999996</v>
      </c>
    </row>
    <row r="281" spans="2:12" x14ac:dyDescent="0.3">
      <c r="B281" s="30"/>
      <c r="C281" s="1" t="s">
        <v>34</v>
      </c>
      <c r="D281" s="1" t="s">
        <v>218</v>
      </c>
      <c r="E281" s="10">
        <v>7.4042999999999998E-2</v>
      </c>
      <c r="F281" s="12">
        <v>2.985452</v>
      </c>
      <c r="G281" s="9">
        <v>0.80833299999999997</v>
      </c>
      <c r="H281" s="12">
        <v>0.98787899999999995</v>
      </c>
      <c r="I281" s="10">
        <v>0.17691999999999999</v>
      </c>
      <c r="J281" s="12">
        <v>1.3487610000000001</v>
      </c>
      <c r="K281" s="10">
        <v>6.8877999999999995E-2</v>
      </c>
      <c r="L281" s="12">
        <v>0.95099800000000001</v>
      </c>
    </row>
    <row r="282" spans="2:12" x14ac:dyDescent="0.3">
      <c r="B282" s="30"/>
      <c r="C282" s="1" t="s">
        <v>34</v>
      </c>
      <c r="D282" s="1" t="s">
        <v>219</v>
      </c>
      <c r="E282" s="10">
        <v>8.3985000000000004E-2</v>
      </c>
      <c r="F282" s="12">
        <v>4.2764249999999997</v>
      </c>
      <c r="G282" s="9">
        <v>0.90833299999999995</v>
      </c>
      <c r="H282" s="12">
        <v>1</v>
      </c>
      <c r="I282" s="10">
        <v>0.22039500000000001</v>
      </c>
      <c r="J282" s="12">
        <v>2.308942</v>
      </c>
      <c r="K282" s="10">
        <v>9.8787E-2</v>
      </c>
      <c r="L282" s="12">
        <v>1.9397059999999999</v>
      </c>
    </row>
    <row r="283" spans="2:12" x14ac:dyDescent="0.3">
      <c r="B283" s="30"/>
      <c r="C283" s="1" t="s">
        <v>34</v>
      </c>
      <c r="D283" s="1" t="s">
        <v>35</v>
      </c>
      <c r="E283" s="10">
        <v>7.2222999999999996E-2</v>
      </c>
      <c r="F283" s="12">
        <v>3.6189439999999999</v>
      </c>
      <c r="G283" s="9">
        <v>0.83333299999999999</v>
      </c>
      <c r="H283" s="12">
        <v>0.98787899999999995</v>
      </c>
      <c r="I283" s="10">
        <v>0.17166400000000001</v>
      </c>
      <c r="J283" s="12">
        <v>1.656768</v>
      </c>
      <c r="K283" s="10">
        <v>6.5673999999999996E-2</v>
      </c>
      <c r="L283" s="12">
        <v>1.078325</v>
      </c>
    </row>
    <row r="285" spans="2:12" x14ac:dyDescent="0.3">
      <c r="B285" s="1" t="s">
        <v>224</v>
      </c>
    </row>
    <row r="286" spans="2:12" x14ac:dyDescent="0.3">
      <c r="B286" s="1" t="s">
        <v>223</v>
      </c>
    </row>
    <row r="306" spans="2:2" x14ac:dyDescent="0.3">
      <c r="B306" s="2" t="s">
        <v>225</v>
      </c>
    </row>
    <row r="307" spans="2:2" x14ac:dyDescent="0.3">
      <c r="B307" s="1" t="s">
        <v>226</v>
      </c>
    </row>
    <row r="308" spans="2:2" x14ac:dyDescent="0.3">
      <c r="B308" s="1" t="s">
        <v>227</v>
      </c>
    </row>
  </sheetData>
  <mergeCells count="19">
    <mergeCell ref="B279:B283"/>
    <mergeCell ref="B72:B76"/>
    <mergeCell ref="B77:B81"/>
    <mergeCell ref="B82:B86"/>
    <mergeCell ref="B105:B107"/>
    <mergeCell ref="B108:B110"/>
    <mergeCell ref="B111:B113"/>
    <mergeCell ref="B132:B136"/>
    <mergeCell ref="B137:B141"/>
    <mergeCell ref="B142:B146"/>
    <mergeCell ref="B147:B151"/>
    <mergeCell ref="B194:B198"/>
    <mergeCell ref="B199:B203"/>
    <mergeCell ref="B204:B208"/>
    <mergeCell ref="C15:L15"/>
    <mergeCell ref="C16:L16"/>
    <mergeCell ref="C17:L17"/>
    <mergeCell ref="C18:L18"/>
    <mergeCell ref="B114:B116"/>
  </mergeCells>
  <phoneticPr fontId="1" type="noConversion"/>
  <conditionalFormatting sqref="C60:J67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O40">
    <cfRule type="colorScale" priority="3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">
    <cfRule type="colorScale" priority="3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:E56">
    <cfRule type="colorScale" priority="3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5:E156">
    <cfRule type="colorScale" priority="2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1:E162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6:E167">
    <cfRule type="colorScale" priority="1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1:E172">
    <cfRule type="colorScale" priority="1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6:E177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8">
    <cfRule type="colorScale" priority="3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3:E190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12:E213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9:E283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6">
    <cfRule type="colorScale" priority="3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44:F56">
    <cfRule type="colorScale" priority="3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72:F86">
    <cfRule type="colorScale" priority="28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04:F116">
    <cfRule type="colorScale" priority="2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32:F151"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55:F156">
    <cfRule type="colorScale" priority="2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61:F162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66:F167">
    <cfRule type="colorScale" priority="1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1:F172">
    <cfRule type="colorScale" priority="1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6:F177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78">
    <cfRule type="colorScale" priority="3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83:F190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94:F208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12:F213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79:F28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6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{BAA03219-894F-45A6-A4FF-99ADC3809E68}</x14:id>
        </ext>
      </extLst>
    </cfRule>
  </conditionalFormatting>
  <conditionalFormatting sqref="G44:G56"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{EF8076C0-56FC-456B-AF16-AE522C628F1C}</x14:id>
        </ext>
      </extLst>
    </cfRule>
  </conditionalFormatting>
  <conditionalFormatting sqref="G72:G86">
    <cfRule type="colorScale" priority="28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04:G116">
    <cfRule type="colorScale" priority="2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32:G151"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155:G156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{DBA03518-34E4-42A7-B7E6-666F3EF915BC}</x14:id>
        </ext>
      </extLst>
    </cfRule>
  </conditionalFormatting>
  <conditionalFormatting sqref="G161:G162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{9E0024FE-6493-4323-9E91-91A41F0CD3B8}</x14:id>
        </ext>
      </extLst>
    </cfRule>
  </conditionalFormatting>
  <conditionalFormatting sqref="G166:G167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{9CBF5F70-A79F-4FF2-985B-1BD70AC1A939}</x14:id>
        </ext>
      </extLst>
    </cfRule>
  </conditionalFormatting>
  <conditionalFormatting sqref="G171:G172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{E34EB258-54AB-4D31-A291-88009CE9CD88}</x14:id>
        </ext>
      </extLst>
    </cfRule>
  </conditionalFormatting>
  <conditionalFormatting sqref="G176:G177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{ED66508E-29F1-4D7D-8B33-1EC23147F830}</x14:id>
        </ext>
      </extLst>
    </cfRule>
  </conditionalFormatting>
  <conditionalFormatting sqref="G178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{24843548-B4B7-41BA-BC64-3CCEE199F8E5}</x14:id>
        </ext>
      </extLst>
    </cfRule>
  </conditionalFormatting>
  <conditionalFormatting sqref="G183:G190"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{39CA377A-97F3-4181-86D8-5E60C6DDAAD6}</x14:id>
        </ext>
      </extLst>
    </cfRule>
  </conditionalFormatting>
  <conditionalFormatting sqref="G194:G208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G212:G213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{66DB225C-25F0-4177-84FD-DF27CD85F33D}</x14:id>
        </ext>
      </extLst>
    </cfRule>
  </conditionalFormatting>
  <conditionalFormatting sqref="G279:G283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{6AC975AD-AC68-4965-99CF-EB0C65593E49}</x14:id>
        </ext>
      </extLst>
    </cfRule>
  </conditionalFormatting>
  <conditionalFormatting sqref="H6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{57821D18-D441-48BB-A39C-27B34B914F06}</x14:id>
        </ext>
      </extLst>
    </cfRule>
  </conditionalFormatting>
  <conditionalFormatting sqref="H44:H56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{117862BD-E451-4207-8D40-6D8327A5C8F3}</x14:id>
        </ext>
      </extLst>
    </cfRule>
  </conditionalFormatting>
  <conditionalFormatting sqref="H72:H86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{AD147DF3-4ACF-472F-A09A-F441D25031B3}</x14:id>
        </ext>
      </extLst>
    </cfRule>
  </conditionalFormatting>
  <conditionalFormatting sqref="H104:H116">
    <cfRule type="dataBar" priority="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{4CA1E683-3927-4F31-B46E-2930C9AB70EE}</x14:id>
        </ext>
      </extLst>
    </cfRule>
  </conditionalFormatting>
  <conditionalFormatting sqref="H132:H151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{76CE2994-7675-40CF-9D72-9E68D86171E5}</x14:id>
        </ext>
      </extLst>
    </cfRule>
  </conditionalFormatting>
  <conditionalFormatting sqref="H155:H156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{AC2FB72E-B13E-4188-9476-43394FAEB198}</x14:id>
        </ext>
      </extLst>
    </cfRule>
  </conditionalFormatting>
  <conditionalFormatting sqref="H161:H162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{9534F58A-224D-4F84-B1AD-7B601272A845}</x14:id>
        </ext>
      </extLst>
    </cfRule>
  </conditionalFormatting>
  <conditionalFormatting sqref="H166:H167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{AC8EB7E3-A269-4ED0-853E-FDFD7F956D8F}</x14:id>
        </ext>
      </extLst>
    </cfRule>
  </conditionalFormatting>
  <conditionalFormatting sqref="H171:H172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{33C5D55D-55F4-40B1-96F0-FE2105E3F67E}</x14:id>
        </ext>
      </extLst>
    </cfRule>
  </conditionalFormatting>
  <conditionalFormatting sqref="H176:H17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{1DD2645E-6142-4178-B42A-04B32564519B}</x14:id>
        </ext>
      </extLst>
    </cfRule>
  </conditionalFormatting>
  <conditionalFormatting sqref="H178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{D5AD25F4-F129-4741-851C-596BD29DBE13}</x14:id>
        </ext>
      </extLst>
    </cfRule>
  </conditionalFormatting>
  <conditionalFormatting sqref="H183:H190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{B9C0C313-22BC-4355-97B0-5C9DCA2B4258}</x14:id>
        </ext>
      </extLst>
    </cfRule>
  </conditionalFormatting>
  <conditionalFormatting sqref="H194:H208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{754BE6E7-359B-4DCF-9E71-2811BCA8614C}</x14:id>
        </ext>
      </extLst>
    </cfRule>
  </conditionalFormatting>
  <conditionalFormatting sqref="H212:H21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{37E869F0-39F8-48DD-BA34-ED74A3600706}</x14:id>
        </ext>
      </extLst>
    </cfRule>
  </conditionalFormatting>
  <conditionalFormatting sqref="H279:H283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{3101891B-E52B-4901-BB17-D07DEE14D048}</x14:id>
        </ext>
      </extLst>
    </cfRule>
  </conditionalFormatting>
  <conditionalFormatting sqref="I6">
    <cfRule type="colorScale" priority="3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44:I56">
    <cfRule type="colorScale" priority="3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72:I86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{973CCB9D-A3B2-40F7-B7FC-73672D9AD4A4}</x14:id>
        </ext>
      </extLst>
    </cfRule>
  </conditionalFormatting>
  <conditionalFormatting sqref="I104:I116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{89094FEA-1A3B-46CA-B914-40367BF9F9DA}</x14:id>
        </ext>
      </extLst>
    </cfRule>
  </conditionalFormatting>
  <conditionalFormatting sqref="I132:I151">
    <cfRule type="dataBar" priority="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{1F63A467-D347-415A-A9CF-0CB20D2B5E74}</x14:id>
        </ext>
      </extLst>
    </cfRule>
  </conditionalFormatting>
  <conditionalFormatting sqref="I155:I156">
    <cfRule type="colorScale" priority="2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1:I162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6:I167">
    <cfRule type="colorScale" priority="1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1:I172">
    <cfRule type="colorScale" priority="1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6:I177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8">
    <cfRule type="colorScale" priority="3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83:I190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94:I208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{ECEB9563-D7FA-447C-A8A3-90595C8EA2F3}</x14:id>
        </ext>
      </extLst>
    </cfRule>
  </conditionalFormatting>
  <conditionalFormatting sqref="I212:I213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79:I283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6">
    <cfRule type="colorScale" priority="3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44:J56">
    <cfRule type="colorScale" priority="30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72:J86">
    <cfRule type="colorScale" priority="2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04:J116">
    <cfRule type="colorScale" priority="2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32:J151">
    <cfRule type="colorScale" priority="2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55:J156">
    <cfRule type="colorScale" priority="2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61:J162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66:J167">
    <cfRule type="colorScale" priority="1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1:J172">
    <cfRule type="colorScale" priority="1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6:J177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78">
    <cfRule type="colorScale" priority="3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83:J190"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94:J208"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12:J213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79:J283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6">
    <cfRule type="colorScale" priority="3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4:K56">
    <cfRule type="colorScale" priority="3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72:K86">
    <cfRule type="colorScale" priority="29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04:K116">
    <cfRule type="colorScale" priority="2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2:K151"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55:K156">
    <cfRule type="colorScale" priority="2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1:K162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6:K167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1:K172">
    <cfRule type="colorScale" priority="1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6:K177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8">
    <cfRule type="colorScale" priority="3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3:K190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94:K208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2:K213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9:K283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">
    <cfRule type="colorScale" priority="3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44:L56">
    <cfRule type="colorScale" priority="3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72:L86">
    <cfRule type="colorScale" priority="29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04:L116">
    <cfRule type="colorScale" priority="2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32:L151">
    <cfRule type="colorScale" priority="2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55:L156">
    <cfRule type="colorScale" priority="2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61:L162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66:L167">
    <cfRule type="colorScale" priority="1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1:L172">
    <cfRule type="colorScale" priority="1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6:L177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78">
    <cfRule type="colorScale" priority="3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83:L190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194:L208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12:L213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279:L283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72:M86">
    <cfRule type="colorScale" priority="2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04:M116">
    <cfRule type="colorScale" priority="2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32:M151">
    <cfRule type="colorScale" priority="2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94:M208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A03219-894F-45A6-A4FF-99ADC3809E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EF8076C0-56FC-456B-AF16-AE522C628F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G44:G56</xm:sqref>
        </x14:conditionalFormatting>
        <x14:conditionalFormatting xmlns:xm="http://schemas.microsoft.com/office/excel/2006/main">
          <x14:cfRule type="dataBar" id="{DBA03518-34E4-42A7-B7E6-666F3EF915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G155:G156</xm:sqref>
        </x14:conditionalFormatting>
        <x14:conditionalFormatting xmlns:xm="http://schemas.microsoft.com/office/excel/2006/main">
          <x14:cfRule type="dataBar" id="{9E0024FE-6493-4323-9E91-91A41F0CD3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G161:G162</xm:sqref>
        </x14:conditionalFormatting>
        <x14:conditionalFormatting xmlns:xm="http://schemas.microsoft.com/office/excel/2006/main">
          <x14:cfRule type="dataBar" id="{9CBF5F70-A79F-4FF2-985B-1BD70AC1A9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G166:G167</xm:sqref>
        </x14:conditionalFormatting>
        <x14:conditionalFormatting xmlns:xm="http://schemas.microsoft.com/office/excel/2006/main">
          <x14:cfRule type="dataBar" id="{E34EB258-54AB-4D31-A291-88009CE9CD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G171:G172</xm:sqref>
        </x14:conditionalFormatting>
        <x14:conditionalFormatting xmlns:xm="http://schemas.microsoft.com/office/excel/2006/main">
          <x14:cfRule type="dataBar" id="{ED66508E-29F1-4D7D-8B33-1EC23147F8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G176:G177</xm:sqref>
        </x14:conditionalFormatting>
        <x14:conditionalFormatting xmlns:xm="http://schemas.microsoft.com/office/excel/2006/main">
          <x14:cfRule type="dataBar" id="{24843548-B4B7-41BA-BC64-3CCEE199F8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G178</xm:sqref>
        </x14:conditionalFormatting>
        <x14:conditionalFormatting xmlns:xm="http://schemas.microsoft.com/office/excel/2006/main">
          <x14:cfRule type="dataBar" id="{39CA377A-97F3-4181-86D8-5E60C6DDAA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G183:G190</xm:sqref>
        </x14:conditionalFormatting>
        <x14:conditionalFormatting xmlns:xm="http://schemas.microsoft.com/office/excel/2006/main">
          <x14:cfRule type="dataBar" id="{66DB225C-25F0-4177-84FD-DF27CD85F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G212:G213</xm:sqref>
        </x14:conditionalFormatting>
        <x14:conditionalFormatting xmlns:xm="http://schemas.microsoft.com/office/excel/2006/main">
          <x14:cfRule type="dataBar" id="{6AC975AD-AC68-4965-99CF-EB0C65593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G279:G283</xm:sqref>
        </x14:conditionalFormatting>
        <x14:conditionalFormatting xmlns:xm="http://schemas.microsoft.com/office/excel/2006/main">
          <x14:cfRule type="dataBar" id="{57821D18-D441-48BB-A39C-27B34B914F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H6</xm:sqref>
        </x14:conditionalFormatting>
        <x14:conditionalFormatting xmlns:xm="http://schemas.microsoft.com/office/excel/2006/main">
          <x14:cfRule type="dataBar" id="{117862BD-E451-4207-8D40-6D8327A5C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H44:H56</xm:sqref>
        </x14:conditionalFormatting>
        <x14:conditionalFormatting xmlns:xm="http://schemas.microsoft.com/office/excel/2006/main">
          <x14:cfRule type="dataBar" id="{AD147DF3-4ACF-472F-A09A-F441D25031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H72:H86</xm:sqref>
        </x14:conditionalFormatting>
        <x14:conditionalFormatting xmlns:xm="http://schemas.microsoft.com/office/excel/2006/main">
          <x14:cfRule type="dataBar" id="{4CA1E683-3927-4F31-B46E-2930C9AB7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H104:H116</xm:sqref>
        </x14:conditionalFormatting>
        <x14:conditionalFormatting xmlns:xm="http://schemas.microsoft.com/office/excel/2006/main">
          <x14:cfRule type="dataBar" id="{76CE2994-7675-40CF-9D72-9E68D86171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H132:H151</xm:sqref>
        </x14:conditionalFormatting>
        <x14:conditionalFormatting xmlns:xm="http://schemas.microsoft.com/office/excel/2006/main">
          <x14:cfRule type="dataBar" id="{AC2FB72E-B13E-4188-9476-43394FAEB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H155:H156</xm:sqref>
        </x14:conditionalFormatting>
        <x14:conditionalFormatting xmlns:xm="http://schemas.microsoft.com/office/excel/2006/main">
          <x14:cfRule type="dataBar" id="{9534F58A-224D-4F84-B1AD-7B601272A8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H161:H162</xm:sqref>
        </x14:conditionalFormatting>
        <x14:conditionalFormatting xmlns:xm="http://schemas.microsoft.com/office/excel/2006/main">
          <x14:cfRule type="dataBar" id="{AC8EB7E3-A269-4ED0-853E-FDFD7F956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H166:H167</xm:sqref>
        </x14:conditionalFormatting>
        <x14:conditionalFormatting xmlns:xm="http://schemas.microsoft.com/office/excel/2006/main">
          <x14:cfRule type="dataBar" id="{33C5D55D-55F4-40B1-96F0-FE2105E3F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H171:H172</xm:sqref>
        </x14:conditionalFormatting>
        <x14:conditionalFormatting xmlns:xm="http://schemas.microsoft.com/office/excel/2006/main">
          <x14:cfRule type="dataBar" id="{1DD2645E-6142-4178-B42A-04B325645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H176:H177</xm:sqref>
        </x14:conditionalFormatting>
        <x14:conditionalFormatting xmlns:xm="http://schemas.microsoft.com/office/excel/2006/main">
          <x14:cfRule type="dataBar" id="{D5AD25F4-F129-4741-851C-596BD29DBE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H178</xm:sqref>
        </x14:conditionalFormatting>
        <x14:conditionalFormatting xmlns:xm="http://schemas.microsoft.com/office/excel/2006/main">
          <x14:cfRule type="dataBar" id="{B9C0C313-22BC-4355-97B0-5C9DCA2B42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H183:H190</xm:sqref>
        </x14:conditionalFormatting>
        <x14:conditionalFormatting xmlns:xm="http://schemas.microsoft.com/office/excel/2006/main">
          <x14:cfRule type="dataBar" id="{754BE6E7-359B-4DCF-9E71-2811BCA861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H194:H208</xm:sqref>
        </x14:conditionalFormatting>
        <x14:conditionalFormatting xmlns:xm="http://schemas.microsoft.com/office/excel/2006/main">
          <x14:cfRule type="dataBar" id="{37E869F0-39F8-48DD-BA34-ED74A3600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H212:H213</xm:sqref>
        </x14:conditionalFormatting>
        <x14:conditionalFormatting xmlns:xm="http://schemas.microsoft.com/office/excel/2006/main">
          <x14:cfRule type="dataBar" id="{3101891B-E52B-4901-BB17-D07DEE14D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H279:H283</xm:sqref>
        </x14:conditionalFormatting>
        <x14:conditionalFormatting xmlns:xm="http://schemas.microsoft.com/office/excel/2006/main">
          <x14:cfRule type="dataBar" id="{973CCB9D-A3B2-40F7-B7FC-73672D9AD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I72:I86</xm:sqref>
        </x14:conditionalFormatting>
        <x14:conditionalFormatting xmlns:xm="http://schemas.microsoft.com/office/excel/2006/main">
          <x14:cfRule type="dataBar" id="{89094FEA-1A3B-46CA-B914-40367BF9F9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I104:I116</xm:sqref>
        </x14:conditionalFormatting>
        <x14:conditionalFormatting xmlns:xm="http://schemas.microsoft.com/office/excel/2006/main">
          <x14:cfRule type="dataBar" id="{1F63A467-D347-415A-A9CF-0CB20D2B5E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I132:I151</xm:sqref>
        </x14:conditionalFormatting>
        <x14:conditionalFormatting xmlns:xm="http://schemas.microsoft.com/office/excel/2006/main">
          <x14:cfRule type="dataBar" id="{ECEB9563-D7FA-447C-A8A3-90595C8EA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I194:I208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E6E2-C12A-4261-9C9C-9091F05681C0}">
  <dimension ref="A1:K81"/>
  <sheetViews>
    <sheetView topLeftCell="A55" workbookViewId="0">
      <selection activeCell="P12" sqref="P12"/>
    </sheetView>
  </sheetViews>
  <sheetFormatPr defaultRowHeight="14" x14ac:dyDescent="0.3"/>
  <cols>
    <col min="1" max="1" width="18.25" style="25" bestFit="1" customWidth="1"/>
    <col min="2" max="16384" width="8.6640625" style="25"/>
  </cols>
  <sheetData>
    <row r="1" spans="1:11" ht="16.5" x14ac:dyDescent="0.3">
      <c r="A1" s="5" t="s">
        <v>36</v>
      </c>
      <c r="B1" s="5" t="s">
        <v>31</v>
      </c>
      <c r="C1" s="5" t="s">
        <v>4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44</v>
      </c>
      <c r="I1" s="5" t="s">
        <v>41</v>
      </c>
      <c r="J1" s="5" t="s">
        <v>45</v>
      </c>
      <c r="K1" s="5" t="s">
        <v>42</v>
      </c>
    </row>
    <row r="2" spans="1:11" ht="16.5" x14ac:dyDescent="0.3">
      <c r="A2" s="1" t="s">
        <v>16</v>
      </c>
      <c r="B2" s="1" t="s">
        <v>34</v>
      </c>
      <c r="C2" s="1" t="s">
        <v>35</v>
      </c>
      <c r="D2" s="16">
        <v>4.7764351633533798E-2</v>
      </c>
      <c r="E2" s="17">
        <v>1.7407095857766599</v>
      </c>
      <c r="F2" s="18">
        <v>0.66666666666666596</v>
      </c>
      <c r="G2" s="17">
        <v>0.87878787878787801</v>
      </c>
      <c r="H2" s="16">
        <v>0.11274387638328499</v>
      </c>
      <c r="I2" s="17">
        <v>0.94928302166907597</v>
      </c>
      <c r="J2" s="16">
        <v>2.54289008976838E-2</v>
      </c>
      <c r="K2" s="17">
        <v>0.30568447098532298</v>
      </c>
    </row>
    <row r="3" spans="1:11" ht="16.5" x14ac:dyDescent="0.3">
      <c r="A3" s="1" t="s">
        <v>177</v>
      </c>
      <c r="B3" s="1" t="s">
        <v>34</v>
      </c>
      <c r="C3" s="1" t="s">
        <v>35</v>
      </c>
      <c r="D3" s="16">
        <v>1.8683506743865499E-2</v>
      </c>
      <c r="E3" s="17">
        <v>0.97717219996633897</v>
      </c>
      <c r="F3" s="18">
        <v>0.59166666666666601</v>
      </c>
      <c r="G3" s="17">
        <v>0.15151515151515099</v>
      </c>
      <c r="H3" s="16">
        <v>7.1404348865640496E-2</v>
      </c>
      <c r="I3" s="17">
        <v>0.58452912617891295</v>
      </c>
      <c r="J3" s="16">
        <v>-2.21981548936716E-2</v>
      </c>
      <c r="K3" s="17">
        <v>-0.46903366710986399</v>
      </c>
    </row>
    <row r="4" spans="1:11" ht="16.5" x14ac:dyDescent="0.3">
      <c r="A4" s="1" t="s">
        <v>175</v>
      </c>
      <c r="B4" s="1" t="s">
        <v>34</v>
      </c>
      <c r="C4" s="1" t="s">
        <v>35</v>
      </c>
      <c r="D4" s="16">
        <v>2.54882903651578E-2</v>
      </c>
      <c r="E4" s="17">
        <v>1.4265767161779199</v>
      </c>
      <c r="F4" s="18">
        <v>0.71666666666666601</v>
      </c>
      <c r="G4" s="17">
        <v>0.51515151515151503</v>
      </c>
      <c r="H4" s="16">
        <v>8.0463286770781198E-2</v>
      </c>
      <c r="I4" s="17">
        <v>0.81381379974677104</v>
      </c>
      <c r="J4" s="16">
        <v>-2.9461005165149698E-3</v>
      </c>
      <c r="K4" s="17">
        <v>-7.2680091741229497E-2</v>
      </c>
    </row>
    <row r="5" spans="1:11" ht="16.5" x14ac:dyDescent="0.3">
      <c r="A5" s="1" t="s">
        <v>176</v>
      </c>
      <c r="B5" s="1" t="s">
        <v>34</v>
      </c>
      <c r="C5" s="1" t="s">
        <v>35</v>
      </c>
      <c r="D5" s="16">
        <v>2.1849193713497101E-2</v>
      </c>
      <c r="E5" s="17">
        <v>1.06117016328292</v>
      </c>
      <c r="F5" s="18">
        <v>0.625</v>
      </c>
      <c r="G5" s="17">
        <v>0.33333333333333298</v>
      </c>
      <c r="H5" s="16">
        <v>6.6744384896842507E-2</v>
      </c>
      <c r="I5" s="17">
        <v>0.49765041545976102</v>
      </c>
      <c r="J5" s="16">
        <v>-2.1126992600036198E-2</v>
      </c>
      <c r="K5" s="17">
        <v>-0.42058535427788302</v>
      </c>
    </row>
    <row r="6" spans="1:11" ht="16.5" x14ac:dyDescent="0.3">
      <c r="A6" s="1" t="s">
        <v>133</v>
      </c>
      <c r="B6" s="1" t="s">
        <v>34</v>
      </c>
      <c r="C6" s="1" t="s">
        <v>35</v>
      </c>
      <c r="D6" s="16">
        <v>4.0865650800210603E-2</v>
      </c>
      <c r="E6" s="17">
        <v>2.2152825257806601</v>
      </c>
      <c r="F6" s="18">
        <v>0.75833333333333297</v>
      </c>
      <c r="G6" s="17">
        <v>0.96363636363636296</v>
      </c>
      <c r="H6" s="16">
        <v>8.5262119467718195E-2</v>
      </c>
      <c r="I6" s="17">
        <v>0.78671274717658801</v>
      </c>
      <c r="J6" s="16">
        <v>3.7103179447078201E-2</v>
      </c>
      <c r="K6" s="17">
        <v>0.55408882729623599</v>
      </c>
    </row>
    <row r="7" spans="1:11" ht="16.5" x14ac:dyDescent="0.3">
      <c r="A7" s="1" t="s">
        <v>135</v>
      </c>
      <c r="B7" s="1" t="s">
        <v>34</v>
      </c>
      <c r="C7" s="1" t="s">
        <v>35</v>
      </c>
      <c r="D7" s="16">
        <v>3.5295575608204503E-2</v>
      </c>
      <c r="E7" s="17">
        <v>2.1410328873948101</v>
      </c>
      <c r="F7" s="18">
        <v>0.7</v>
      </c>
      <c r="G7" s="17">
        <v>0.96363636363636296</v>
      </c>
      <c r="H7" s="16">
        <v>7.29740248159053E-2</v>
      </c>
      <c r="I7" s="17">
        <v>0.68658106579260003</v>
      </c>
      <c r="J7" s="16">
        <v>3.8215180088924099E-2</v>
      </c>
      <c r="K7" s="17">
        <v>0.54665278350602498</v>
      </c>
    </row>
    <row r="8" spans="1:11" ht="16.5" x14ac:dyDescent="0.3">
      <c r="A8" s="1" t="s">
        <v>137</v>
      </c>
      <c r="B8" s="1" t="s">
        <v>34</v>
      </c>
      <c r="C8" s="1" t="s">
        <v>35</v>
      </c>
      <c r="D8" s="16">
        <v>3.0608335074926E-2</v>
      </c>
      <c r="E8" s="17">
        <v>1.9886159155177201</v>
      </c>
      <c r="F8" s="18">
        <v>0.74166666666666603</v>
      </c>
      <c r="G8" s="17">
        <v>0.97575757575757505</v>
      </c>
      <c r="H8" s="16">
        <v>6.5968447711059003E-2</v>
      </c>
      <c r="I8" s="17">
        <v>0.63577346595376105</v>
      </c>
      <c r="J8" s="16">
        <v>2.6175962214708502E-2</v>
      </c>
      <c r="K8" s="17">
        <v>0.37368889473595701</v>
      </c>
    </row>
    <row r="9" spans="1:11" ht="16.5" x14ac:dyDescent="0.3">
      <c r="A9" s="1" t="s">
        <v>134</v>
      </c>
      <c r="B9" s="1" t="s">
        <v>34</v>
      </c>
      <c r="C9" s="1" t="s">
        <v>35</v>
      </c>
      <c r="D9" s="16">
        <v>3.03203108040512E-2</v>
      </c>
      <c r="E9" s="17">
        <v>1.3569625816336</v>
      </c>
      <c r="F9" s="18">
        <v>0.66666666666666596</v>
      </c>
      <c r="G9" s="17">
        <v>0.89090909090908998</v>
      </c>
      <c r="H9" s="16">
        <v>6.6182930581792407E-2</v>
      </c>
      <c r="I9" s="17">
        <v>0.49691388356018501</v>
      </c>
      <c r="J9" s="16">
        <v>1.78396838603724E-2</v>
      </c>
      <c r="K9" s="17">
        <v>0.38137909947287502</v>
      </c>
    </row>
    <row r="10" spans="1:11" ht="16.5" x14ac:dyDescent="0.3">
      <c r="A10" s="1" t="s">
        <v>136</v>
      </c>
      <c r="B10" s="1" t="s">
        <v>34</v>
      </c>
      <c r="C10" s="1" t="s">
        <v>35</v>
      </c>
      <c r="D10" s="16">
        <v>3.3659019016028698E-2</v>
      </c>
      <c r="E10" s="17">
        <v>1.4836053709329899</v>
      </c>
      <c r="F10" s="18">
        <v>0.68333333333333302</v>
      </c>
      <c r="G10" s="17">
        <v>0.80606060606060503</v>
      </c>
      <c r="H10" s="16">
        <v>6.58266423067458E-2</v>
      </c>
      <c r="I10" s="17">
        <v>0.45438441743383201</v>
      </c>
      <c r="J10" s="16">
        <v>1.27149933618534E-2</v>
      </c>
      <c r="K10" s="17">
        <v>0.24676856068983399</v>
      </c>
    </row>
    <row r="11" spans="1:11" ht="16.5" x14ac:dyDescent="0.3">
      <c r="A11" s="1" t="s">
        <v>138</v>
      </c>
      <c r="B11" s="1" t="s">
        <v>34</v>
      </c>
      <c r="C11" s="1" t="s">
        <v>35</v>
      </c>
      <c r="D11" s="16">
        <v>3.6741652345757998E-2</v>
      </c>
      <c r="E11" s="17">
        <v>1.66254354569659</v>
      </c>
      <c r="F11" s="18">
        <v>0.7</v>
      </c>
      <c r="G11" s="17">
        <v>0.84242424242424196</v>
      </c>
      <c r="H11" s="16">
        <v>8.77048039642222E-2</v>
      </c>
      <c r="I11" s="17">
        <v>0.66400199141946104</v>
      </c>
      <c r="J11" s="16">
        <v>2.1355723665267601E-2</v>
      </c>
      <c r="K11" s="17">
        <v>0.39276121856636098</v>
      </c>
    </row>
    <row r="12" spans="1:11" ht="16.5" x14ac:dyDescent="0.3">
      <c r="A12" s="1" t="s">
        <v>28</v>
      </c>
      <c r="B12" s="1" t="s">
        <v>34</v>
      </c>
      <c r="C12" s="1" t="s">
        <v>35</v>
      </c>
      <c r="D12" s="16">
        <v>3.2209972975968101E-2</v>
      </c>
      <c r="E12" s="17">
        <v>1.4476179850437001</v>
      </c>
      <c r="F12" s="18">
        <v>0.7</v>
      </c>
      <c r="G12" s="17">
        <v>0.79393939393939295</v>
      </c>
      <c r="H12" s="16">
        <v>7.3892929471965699E-2</v>
      </c>
      <c r="I12" s="17">
        <v>0.72128961788406298</v>
      </c>
      <c r="J12" s="16">
        <v>2.4204843254421599E-2</v>
      </c>
      <c r="K12" s="17">
        <v>0.36508372701699299</v>
      </c>
    </row>
    <row r="13" spans="1:11" ht="16.5" x14ac:dyDescent="0.3">
      <c r="A13" s="1" t="s">
        <v>192</v>
      </c>
      <c r="B13" s="1" t="s">
        <v>34</v>
      </c>
      <c r="C13" s="1" t="s">
        <v>35</v>
      </c>
      <c r="D13" s="16">
        <v>1.2181624073857301E-2</v>
      </c>
      <c r="E13" s="17">
        <v>1.2030828571835599</v>
      </c>
      <c r="F13" s="18">
        <v>0.65833333333333299</v>
      </c>
      <c r="G13" s="17">
        <v>0.248484848484848</v>
      </c>
      <c r="H13" s="16">
        <v>3.3562910340222997E-2</v>
      </c>
      <c r="I13" s="17">
        <v>0.319240376492752</v>
      </c>
      <c r="J13" s="16">
        <v>-1.3071533216589701E-2</v>
      </c>
      <c r="K13" s="17">
        <v>-0.34400008601487703</v>
      </c>
    </row>
    <row r="14" spans="1:11" ht="16.5" x14ac:dyDescent="0.3">
      <c r="A14" s="1" t="s">
        <v>190</v>
      </c>
      <c r="B14" s="1" t="s">
        <v>34</v>
      </c>
      <c r="C14" s="1" t="s">
        <v>35</v>
      </c>
      <c r="D14" s="16">
        <v>1.1496185075549699E-2</v>
      </c>
      <c r="E14" s="17">
        <v>0.57682742050966596</v>
      </c>
      <c r="F14" s="18">
        <v>0.59166666666666601</v>
      </c>
      <c r="G14" s="17">
        <v>0.34545454545454501</v>
      </c>
      <c r="H14" s="16">
        <v>2.6145945496267101E-2</v>
      </c>
      <c r="I14" s="17">
        <v>7.2611964654494002E-2</v>
      </c>
      <c r="J14" s="16">
        <v>-1.9647283962426002E-2</v>
      </c>
      <c r="K14" s="17">
        <v>-0.32759938214309903</v>
      </c>
    </row>
    <row r="15" spans="1:11" ht="16.5" x14ac:dyDescent="0.3">
      <c r="A15" s="1" t="s">
        <v>191</v>
      </c>
      <c r="B15" s="1" t="s">
        <v>34</v>
      </c>
      <c r="C15" s="1" t="s">
        <v>35</v>
      </c>
      <c r="D15" s="16">
        <v>5.9322589842655399E-3</v>
      </c>
      <c r="E15" s="17">
        <v>0.34968557130467098</v>
      </c>
      <c r="F15" s="18">
        <v>0.50833333333333297</v>
      </c>
      <c r="G15" s="17">
        <v>0.19999999999999901</v>
      </c>
      <c r="H15" s="16">
        <v>1.3033476054238199E-2</v>
      </c>
      <c r="I15" s="17">
        <v>-0.102470139107303</v>
      </c>
      <c r="J15" s="16">
        <v>-1.6649345175072602E-2</v>
      </c>
      <c r="K15" s="17">
        <v>-0.35666641525436898</v>
      </c>
    </row>
    <row r="16" spans="1:11" ht="16.5" x14ac:dyDescent="0.3">
      <c r="A16" s="1" t="s">
        <v>163</v>
      </c>
      <c r="B16" s="1" t="s">
        <v>34</v>
      </c>
      <c r="C16" s="1" t="s">
        <v>35</v>
      </c>
      <c r="D16" s="16">
        <v>1.5874974787443E-2</v>
      </c>
      <c r="E16" s="17">
        <v>0.78118615045379702</v>
      </c>
      <c r="F16" s="18">
        <v>0.625</v>
      </c>
      <c r="G16" s="17">
        <v>0.587878787878787</v>
      </c>
      <c r="H16" s="16">
        <v>2.9264082266776598E-3</v>
      </c>
      <c r="I16" s="17">
        <v>-0.22059765243676899</v>
      </c>
      <c r="J16" s="16">
        <v>1.29875133121626E-2</v>
      </c>
      <c r="K16" s="17">
        <v>0.349340017154048</v>
      </c>
    </row>
    <row r="17" spans="1:11" ht="16.5" x14ac:dyDescent="0.3">
      <c r="A17" s="1" t="s">
        <v>165</v>
      </c>
      <c r="B17" s="1" t="s">
        <v>34</v>
      </c>
      <c r="C17" s="1" t="s">
        <v>35</v>
      </c>
      <c r="D17" s="16">
        <v>2.03241826463674E-2</v>
      </c>
      <c r="E17" s="17">
        <v>0.98052030720015704</v>
      </c>
      <c r="F17" s="18">
        <v>0.625</v>
      </c>
      <c r="G17" s="17">
        <v>0.72121212121212097</v>
      </c>
      <c r="H17" s="16">
        <v>2.6716689878117501E-2</v>
      </c>
      <c r="I17" s="17">
        <v>8.4567333966012195E-2</v>
      </c>
      <c r="J17" s="16">
        <v>2.74854725089562E-2</v>
      </c>
      <c r="K17" s="17">
        <v>0.71759984187067305</v>
      </c>
    </row>
    <row r="18" spans="1:11" ht="16.5" x14ac:dyDescent="0.3">
      <c r="A18" s="1" t="s">
        <v>167</v>
      </c>
      <c r="B18" s="1" t="s">
        <v>34</v>
      </c>
      <c r="C18" s="1" t="s">
        <v>35</v>
      </c>
      <c r="D18" s="16">
        <v>2.0995218096832899E-2</v>
      </c>
      <c r="E18" s="17">
        <v>1.0472317111461</v>
      </c>
      <c r="F18" s="18">
        <v>0.60833333333333295</v>
      </c>
      <c r="G18" s="17">
        <v>0.68484848484848404</v>
      </c>
      <c r="H18" s="16">
        <v>3.7372654919237497E-2</v>
      </c>
      <c r="I18" s="17">
        <v>0.21803516017580599</v>
      </c>
      <c r="J18" s="16">
        <v>2.8702885811431201E-2</v>
      </c>
      <c r="K18" s="17">
        <v>0.78290940825015398</v>
      </c>
    </row>
    <row r="19" spans="1:11" ht="16.5" x14ac:dyDescent="0.3">
      <c r="A19" s="1" t="s">
        <v>164</v>
      </c>
      <c r="B19" s="1" t="s">
        <v>34</v>
      </c>
      <c r="C19" s="1" t="s">
        <v>35</v>
      </c>
      <c r="D19" s="16">
        <v>2.2770898702296299E-2</v>
      </c>
      <c r="E19" s="17">
        <v>1.2924490589305799</v>
      </c>
      <c r="F19" s="18">
        <v>0.63333333333333297</v>
      </c>
      <c r="G19" s="17">
        <v>0.78181818181818097</v>
      </c>
      <c r="H19" s="16">
        <v>3.8258589371766398E-2</v>
      </c>
      <c r="I19" s="17">
        <v>0.25855797842828299</v>
      </c>
      <c r="J19" s="16">
        <v>1.8014163096607E-2</v>
      </c>
      <c r="K19" s="17">
        <v>0.49076704131279197</v>
      </c>
    </row>
    <row r="20" spans="1:11" ht="16.5" x14ac:dyDescent="0.3">
      <c r="A20" s="1" t="s">
        <v>166</v>
      </c>
      <c r="B20" s="1" t="s">
        <v>34</v>
      </c>
      <c r="C20" s="1" t="s">
        <v>35</v>
      </c>
      <c r="D20" s="16">
        <v>2.1742010031559698E-2</v>
      </c>
      <c r="E20" s="17">
        <v>1.2871885006978001</v>
      </c>
      <c r="F20" s="18">
        <v>0.7</v>
      </c>
      <c r="G20" s="17">
        <v>0.83030303030302999</v>
      </c>
      <c r="H20" s="16">
        <v>2.93434680693603E-2</v>
      </c>
      <c r="I20" s="17">
        <v>0.15484361153239601</v>
      </c>
      <c r="J20" s="16">
        <v>1.4433547917318299E-2</v>
      </c>
      <c r="K20" s="17">
        <v>0.412244291265072</v>
      </c>
    </row>
    <row r="21" spans="1:11" ht="16.5" x14ac:dyDescent="0.3">
      <c r="A21" s="1" t="s">
        <v>168</v>
      </c>
      <c r="B21" s="1" t="s">
        <v>34</v>
      </c>
      <c r="C21" s="1" t="s">
        <v>35</v>
      </c>
      <c r="D21" s="16">
        <v>2.2328626166531602E-2</v>
      </c>
      <c r="E21" s="17">
        <v>1.3285076359397301</v>
      </c>
      <c r="F21" s="18">
        <v>0.7</v>
      </c>
      <c r="G21" s="17">
        <v>0.73333333333333295</v>
      </c>
      <c r="H21" s="16">
        <v>2.8700120775665999E-2</v>
      </c>
      <c r="I21" s="17">
        <v>0.149234378857934</v>
      </c>
      <c r="J21" s="16">
        <v>1.7952085100428301E-2</v>
      </c>
      <c r="K21" s="17">
        <v>0.51394587422914295</v>
      </c>
    </row>
    <row r="22" spans="1:11" ht="16.5" x14ac:dyDescent="0.3">
      <c r="A22" s="1" t="s">
        <v>22</v>
      </c>
      <c r="B22" s="1" t="s">
        <v>34</v>
      </c>
      <c r="C22" s="1" t="s">
        <v>35</v>
      </c>
      <c r="D22" s="16">
        <v>4.9869582150592E-2</v>
      </c>
      <c r="E22" s="17">
        <v>1.9144489760754499</v>
      </c>
      <c r="F22" s="18">
        <v>0.75</v>
      </c>
      <c r="G22" s="17">
        <v>0.939393939393939</v>
      </c>
      <c r="H22" s="16">
        <v>7.39772352757746E-2</v>
      </c>
      <c r="I22" s="17">
        <v>0.44075316497754702</v>
      </c>
      <c r="J22" s="16">
        <v>3.2037139098528997E-2</v>
      </c>
      <c r="K22" s="17">
        <v>0.37606266885476503</v>
      </c>
    </row>
    <row r="23" spans="1:11" ht="16.5" x14ac:dyDescent="0.3">
      <c r="A23" s="1" t="s">
        <v>186</v>
      </c>
      <c r="B23" s="1" t="s">
        <v>34</v>
      </c>
      <c r="C23" s="1" t="s">
        <v>35</v>
      </c>
      <c r="D23" s="16">
        <v>1.9107384476359599E-2</v>
      </c>
      <c r="E23" s="17">
        <v>1.50364147636993</v>
      </c>
      <c r="F23" s="18">
        <v>0.65</v>
      </c>
      <c r="G23" s="17">
        <v>0.53939393939393898</v>
      </c>
      <c r="H23" s="16">
        <v>5.50089602963948E-2</v>
      </c>
      <c r="I23" s="17">
        <v>0.57637650575170496</v>
      </c>
      <c r="J23" s="16">
        <v>4.5384377270732602E-4</v>
      </c>
      <c r="K23" s="17">
        <v>1.1261594420543501E-2</v>
      </c>
    </row>
    <row r="24" spans="1:11" ht="16.5" x14ac:dyDescent="0.3">
      <c r="A24" s="1" t="s">
        <v>184</v>
      </c>
      <c r="B24" s="1" t="s">
        <v>34</v>
      </c>
      <c r="C24" s="1" t="s">
        <v>35</v>
      </c>
      <c r="D24" s="16">
        <v>2.3823810471212899E-2</v>
      </c>
      <c r="E24" s="17">
        <v>1.85774589218171</v>
      </c>
      <c r="F24" s="18">
        <v>0.70833333333333304</v>
      </c>
      <c r="G24" s="17">
        <v>0.95151515151515098</v>
      </c>
      <c r="H24" s="16">
        <v>7.2546455192172093E-2</v>
      </c>
      <c r="I24" s="17">
        <v>0.85983047980890404</v>
      </c>
      <c r="J24" s="16">
        <v>2.46550000258286E-2</v>
      </c>
      <c r="K24" s="17">
        <v>0.49047937652685297</v>
      </c>
    </row>
    <row r="25" spans="1:11" ht="16.5" x14ac:dyDescent="0.3">
      <c r="A25" s="1" t="s">
        <v>185</v>
      </c>
      <c r="B25" s="1" t="s">
        <v>34</v>
      </c>
      <c r="C25" s="1" t="s">
        <v>35</v>
      </c>
      <c r="D25" s="16">
        <v>2.0703905147097901E-2</v>
      </c>
      <c r="E25" s="17">
        <v>2.07770923433237</v>
      </c>
      <c r="F25" s="18">
        <v>0.72499999999999998</v>
      </c>
      <c r="G25" s="17">
        <v>0.648484848484848</v>
      </c>
      <c r="H25" s="16">
        <v>5.2121431816173402E-2</v>
      </c>
      <c r="I25" s="17">
        <v>0.64807541204870101</v>
      </c>
      <c r="J25" s="16">
        <v>9.8477413783102999E-3</v>
      </c>
      <c r="K25" s="17">
        <v>0.21960824048507299</v>
      </c>
    </row>
    <row r="26" spans="1:11" ht="16.5" x14ac:dyDescent="0.3">
      <c r="A26" s="1" t="s">
        <v>151</v>
      </c>
      <c r="B26" s="1" t="s">
        <v>34</v>
      </c>
      <c r="C26" s="1" t="s">
        <v>35</v>
      </c>
      <c r="D26" s="16">
        <v>1.83384417785834E-2</v>
      </c>
      <c r="E26" s="17">
        <v>0.87733837136877502</v>
      </c>
      <c r="F26" s="18">
        <v>0.58333333333333304</v>
      </c>
      <c r="G26" s="17">
        <v>0.35757575757575699</v>
      </c>
      <c r="H26" s="16">
        <v>1.00805741423441E-2</v>
      </c>
      <c r="I26" s="17">
        <v>-0.103088375688411</v>
      </c>
      <c r="J26" s="16">
        <v>3.3800765354767899E-2</v>
      </c>
      <c r="K26" s="17">
        <v>0.66384877648434504</v>
      </c>
    </row>
    <row r="27" spans="1:11" ht="16.5" x14ac:dyDescent="0.3">
      <c r="A27" s="1" t="s">
        <v>153</v>
      </c>
      <c r="B27" s="1" t="s">
        <v>34</v>
      </c>
      <c r="C27" s="1" t="s">
        <v>35</v>
      </c>
      <c r="D27" s="16">
        <v>2.19646949139835E-2</v>
      </c>
      <c r="E27" s="17">
        <v>0.97307203653631102</v>
      </c>
      <c r="F27" s="18">
        <v>0.60833333333333295</v>
      </c>
      <c r="G27" s="17">
        <v>0.45454545454545398</v>
      </c>
      <c r="H27" s="16">
        <v>1.7832194966069401E-2</v>
      </c>
      <c r="I27" s="17">
        <v>-2.22793742696492E-2</v>
      </c>
      <c r="J27" s="16">
        <v>3.78288841672101E-2</v>
      </c>
      <c r="K27" s="17">
        <v>0.77218708533331903</v>
      </c>
    </row>
    <row r="28" spans="1:11" ht="16.5" x14ac:dyDescent="0.3">
      <c r="A28" s="1" t="s">
        <v>155</v>
      </c>
      <c r="B28" s="1" t="s">
        <v>34</v>
      </c>
      <c r="C28" s="1" t="s">
        <v>35</v>
      </c>
      <c r="D28" s="16">
        <v>2.43866170235345E-2</v>
      </c>
      <c r="E28" s="17">
        <v>1.05777576804969</v>
      </c>
      <c r="F28" s="18">
        <v>0.63333333333333297</v>
      </c>
      <c r="G28" s="17">
        <v>0.6</v>
      </c>
      <c r="H28" s="16">
        <v>3.6676554749170698E-2</v>
      </c>
      <c r="I28" s="17">
        <v>0.16754085771730801</v>
      </c>
      <c r="J28" s="16">
        <v>4.4556149747090497E-2</v>
      </c>
      <c r="K28" s="17">
        <v>0.92559267898219999</v>
      </c>
    </row>
    <row r="29" spans="1:11" ht="16.5" x14ac:dyDescent="0.3">
      <c r="A29" s="1" t="s">
        <v>152</v>
      </c>
      <c r="B29" s="1" t="s">
        <v>34</v>
      </c>
      <c r="C29" s="1" t="s">
        <v>35</v>
      </c>
      <c r="D29" s="16">
        <v>3.5999768689939697E-2</v>
      </c>
      <c r="E29" s="17">
        <v>3.0473112299419101</v>
      </c>
      <c r="F29" s="18">
        <v>0.79166666666666596</v>
      </c>
      <c r="G29" s="17">
        <v>0.98787878787878702</v>
      </c>
      <c r="H29" s="16">
        <v>0.11057671332004</v>
      </c>
      <c r="I29" s="17">
        <v>1.4958539723247599</v>
      </c>
      <c r="J29" s="16">
        <v>6.5588238286418701E-2</v>
      </c>
      <c r="K29" s="17">
        <v>1.74735496814781</v>
      </c>
    </row>
    <row r="30" spans="1:11" ht="16.5" x14ac:dyDescent="0.3">
      <c r="A30" s="1" t="s">
        <v>154</v>
      </c>
      <c r="B30" s="1" t="s">
        <v>34</v>
      </c>
      <c r="C30" s="1" t="s">
        <v>35</v>
      </c>
      <c r="D30" s="16">
        <v>3.6931973235719798E-2</v>
      </c>
      <c r="E30" s="17">
        <v>2.6838014410310498</v>
      </c>
      <c r="F30" s="18">
        <v>0.79166666666666596</v>
      </c>
      <c r="G30" s="17">
        <v>0.96363636363636296</v>
      </c>
      <c r="H30" s="16">
        <v>9.0196407287418304E-2</v>
      </c>
      <c r="I30" s="17">
        <v>1.15639204811542</v>
      </c>
      <c r="J30" s="16">
        <v>5.25477059825619E-2</v>
      </c>
      <c r="K30" s="17">
        <v>1.4784613432319</v>
      </c>
    </row>
    <row r="31" spans="1:11" ht="16.5" x14ac:dyDescent="0.3">
      <c r="A31" s="1" t="s">
        <v>156</v>
      </c>
      <c r="B31" s="1" t="s">
        <v>34</v>
      </c>
      <c r="C31" s="1" t="s">
        <v>35</v>
      </c>
      <c r="D31" s="16">
        <v>3.6749068060261597E-2</v>
      </c>
      <c r="E31" s="17">
        <v>2.4724564531115099</v>
      </c>
      <c r="F31" s="18">
        <v>0.8</v>
      </c>
      <c r="G31" s="17">
        <v>0.97575757575757505</v>
      </c>
      <c r="H31" s="16">
        <v>9.2970222527593696E-2</v>
      </c>
      <c r="I31" s="17">
        <v>1.2311470931850601</v>
      </c>
      <c r="J31" s="16">
        <v>4.9168396204542102E-2</v>
      </c>
      <c r="K31" s="17">
        <v>1.3157089267375599</v>
      </c>
    </row>
    <row r="32" spans="1:11" ht="16.5" x14ac:dyDescent="0.3">
      <c r="A32" s="1" t="s">
        <v>20</v>
      </c>
      <c r="B32" s="1" t="s">
        <v>34</v>
      </c>
      <c r="C32" s="1" t="s">
        <v>35</v>
      </c>
      <c r="D32" s="16">
        <v>5.26331146078017E-2</v>
      </c>
      <c r="E32" s="17">
        <v>2.6472863811085099</v>
      </c>
      <c r="F32" s="18">
        <v>0.79166666666666596</v>
      </c>
      <c r="G32" s="17">
        <v>0.95151515151515098</v>
      </c>
      <c r="H32" s="16">
        <v>0.12985508894977199</v>
      </c>
      <c r="I32" s="17">
        <v>1.41913733968419</v>
      </c>
      <c r="J32" s="16">
        <v>4.0910440662766098E-2</v>
      </c>
      <c r="K32" s="17">
        <v>0.525008532255411</v>
      </c>
    </row>
    <row r="33" spans="1:11" ht="16.5" x14ac:dyDescent="0.3">
      <c r="A33" s="1" t="s">
        <v>81</v>
      </c>
      <c r="B33" s="1" t="s">
        <v>34</v>
      </c>
      <c r="C33" s="1" t="s">
        <v>35</v>
      </c>
      <c r="D33" s="16">
        <v>2.7819796037275898E-2</v>
      </c>
      <c r="E33" s="17">
        <v>2.22943959366801</v>
      </c>
      <c r="F33" s="18">
        <v>0.73333333333333295</v>
      </c>
      <c r="G33" s="17">
        <v>0.51515151515151503</v>
      </c>
      <c r="H33" s="16">
        <v>9.3261011289597101E-2</v>
      </c>
      <c r="I33" s="17">
        <v>1.4962173830377701</v>
      </c>
      <c r="J33" s="16">
        <v>-9.5235282844637892E-3</v>
      </c>
      <c r="K33" s="17">
        <v>-0.26087015545367098</v>
      </c>
    </row>
    <row r="34" spans="1:11" ht="16.5" x14ac:dyDescent="0.3">
      <c r="A34" s="1" t="s">
        <v>77</v>
      </c>
      <c r="B34" s="1" t="s">
        <v>34</v>
      </c>
      <c r="C34" s="1" t="s">
        <v>35</v>
      </c>
      <c r="D34" s="16">
        <v>2.83098869148131E-2</v>
      </c>
      <c r="E34" s="17">
        <v>2.3292537544721101</v>
      </c>
      <c r="F34" s="18">
        <v>0.72499999999999998</v>
      </c>
      <c r="G34" s="17">
        <v>0.62424242424242404</v>
      </c>
      <c r="H34" s="16">
        <v>8.5513530138684596E-2</v>
      </c>
      <c r="I34" s="17">
        <v>1.1033126371412001</v>
      </c>
      <c r="J34" s="16">
        <v>2.2785178854287901E-3</v>
      </c>
      <c r="K34" s="17">
        <v>4.6195523480243098E-2</v>
      </c>
    </row>
    <row r="35" spans="1:11" ht="16.5" x14ac:dyDescent="0.3">
      <c r="A35" s="1" t="s">
        <v>79</v>
      </c>
      <c r="B35" s="1" t="s">
        <v>34</v>
      </c>
      <c r="C35" s="1" t="s">
        <v>35</v>
      </c>
      <c r="D35" s="16">
        <v>2.7819459224822402E-2</v>
      </c>
      <c r="E35" s="17">
        <v>2.5155412812261702</v>
      </c>
      <c r="F35" s="18">
        <v>0.75833333333333297</v>
      </c>
      <c r="G35" s="17">
        <v>0.527272727272727</v>
      </c>
      <c r="H35" s="16">
        <v>9.39887582244152E-2</v>
      </c>
      <c r="I35" s="17">
        <v>1.64006747908811</v>
      </c>
      <c r="J35" s="16">
        <v>9.0865694039349396E-4</v>
      </c>
      <c r="K35" s="17">
        <v>2.2986484733393198E-2</v>
      </c>
    </row>
    <row r="36" spans="1:11" ht="16.5" x14ac:dyDescent="0.3">
      <c r="A36" s="1" t="s">
        <v>71</v>
      </c>
      <c r="B36" s="1" t="s">
        <v>34</v>
      </c>
      <c r="C36" s="1" t="s">
        <v>35</v>
      </c>
      <c r="D36" s="16">
        <v>3.3403462465385898E-2</v>
      </c>
      <c r="E36" s="17">
        <v>2.1384460776066798</v>
      </c>
      <c r="F36" s="18">
        <v>0.75833333333333297</v>
      </c>
      <c r="G36" s="17">
        <v>0.98787878787878702</v>
      </c>
      <c r="H36" s="16">
        <v>7.7946614149909402E-2</v>
      </c>
      <c r="I36" s="17">
        <v>0.70588392399966204</v>
      </c>
      <c r="J36" s="16">
        <v>4.2488340452463198E-2</v>
      </c>
      <c r="K36" s="17">
        <v>0.65997467911844099</v>
      </c>
    </row>
    <row r="37" spans="1:11" ht="16.5" x14ac:dyDescent="0.3">
      <c r="A37" s="1" t="s">
        <v>73</v>
      </c>
      <c r="B37" s="1" t="s">
        <v>34</v>
      </c>
      <c r="C37" s="1" t="s">
        <v>35</v>
      </c>
      <c r="D37" s="16">
        <v>3.1063129618254401E-2</v>
      </c>
      <c r="E37" s="17">
        <v>1.90656932098286</v>
      </c>
      <c r="F37" s="18">
        <v>0.74166666666666603</v>
      </c>
      <c r="G37" s="17">
        <v>0.97575757575757505</v>
      </c>
      <c r="H37" s="16">
        <v>6.0445067857012903E-2</v>
      </c>
      <c r="I37" s="17">
        <v>0.46832361599995398</v>
      </c>
      <c r="J37" s="16">
        <v>3.7662127610352002E-2</v>
      </c>
      <c r="K37" s="17">
        <v>0.56674219781201096</v>
      </c>
    </row>
    <row r="38" spans="1:11" ht="16.5" x14ac:dyDescent="0.3">
      <c r="A38" s="1" t="s">
        <v>75</v>
      </c>
      <c r="B38" s="1" t="s">
        <v>34</v>
      </c>
      <c r="C38" s="1" t="s">
        <v>35</v>
      </c>
      <c r="D38" s="16">
        <v>2.8683986799946298E-2</v>
      </c>
      <c r="E38" s="17">
        <v>1.710436248071</v>
      </c>
      <c r="F38" s="18">
        <v>0.7</v>
      </c>
      <c r="G38" s="17">
        <v>0.90303030303030196</v>
      </c>
      <c r="H38" s="16">
        <v>6.3609244024464495E-2</v>
      </c>
      <c r="I38" s="17">
        <v>0.540466623330773</v>
      </c>
      <c r="J38" s="16">
        <v>3.3966467921346701E-2</v>
      </c>
      <c r="K38" s="17">
        <v>0.53484329925798801</v>
      </c>
    </row>
    <row r="39" spans="1:11" ht="16.5" x14ac:dyDescent="0.3">
      <c r="A39" s="1" t="s">
        <v>72</v>
      </c>
      <c r="B39" s="1" t="s">
        <v>34</v>
      </c>
      <c r="C39" s="1" t="s">
        <v>35</v>
      </c>
      <c r="D39" s="16">
        <v>4.3766869055701998E-2</v>
      </c>
      <c r="E39" s="17">
        <v>3.3074464493639999</v>
      </c>
      <c r="F39" s="18">
        <v>0.80833333333333302</v>
      </c>
      <c r="G39" s="17">
        <v>0.999999999999999</v>
      </c>
      <c r="H39" s="16">
        <v>0.122830809518797</v>
      </c>
      <c r="I39" s="17">
        <v>1.4645653271102199</v>
      </c>
      <c r="J39" s="16">
        <v>6.1324078362162603E-2</v>
      </c>
      <c r="K39" s="17">
        <v>1.6264991619523199</v>
      </c>
    </row>
    <row r="40" spans="1:11" ht="16.5" x14ac:dyDescent="0.3">
      <c r="A40" s="1" t="s">
        <v>74</v>
      </c>
      <c r="B40" s="1" t="s">
        <v>34</v>
      </c>
      <c r="C40" s="1" t="s">
        <v>35</v>
      </c>
      <c r="D40" s="16">
        <v>4.6444970882254702E-2</v>
      </c>
      <c r="E40" s="17">
        <v>3.3030657530737502</v>
      </c>
      <c r="F40" s="18">
        <v>0.80833333333333302</v>
      </c>
      <c r="G40" s="17">
        <v>0.98787878787878702</v>
      </c>
      <c r="H40" s="16">
        <v>0.138761064451626</v>
      </c>
      <c r="I40" s="17">
        <v>1.6730010604338901</v>
      </c>
      <c r="J40" s="16">
        <v>6.2371229465159897E-2</v>
      </c>
      <c r="K40" s="17">
        <v>1.55305000269807</v>
      </c>
    </row>
    <row r="41" spans="1:11" ht="16.5" x14ac:dyDescent="0.3">
      <c r="A41" s="1" t="s">
        <v>76</v>
      </c>
      <c r="B41" s="1" t="s">
        <v>34</v>
      </c>
      <c r="C41" s="1" t="s">
        <v>35</v>
      </c>
      <c r="D41" s="16">
        <v>4.6326102169107E-2</v>
      </c>
      <c r="E41" s="17">
        <v>3.2536018734034098</v>
      </c>
      <c r="F41" s="18">
        <v>0.82499999999999996</v>
      </c>
      <c r="G41" s="17">
        <v>0.98787878787878702</v>
      </c>
      <c r="H41" s="16">
        <v>0.13928918857089201</v>
      </c>
      <c r="I41" s="17">
        <v>1.7794106059970001</v>
      </c>
      <c r="J41" s="16">
        <v>6.0310700108068202E-2</v>
      </c>
      <c r="K41" s="17">
        <v>1.51717046970405</v>
      </c>
    </row>
    <row r="42" spans="1:11" ht="16.5" x14ac:dyDescent="0.3">
      <c r="A42" s="1" t="s">
        <v>25</v>
      </c>
      <c r="B42" s="1" t="s">
        <v>34</v>
      </c>
      <c r="C42" s="1" t="s">
        <v>35</v>
      </c>
      <c r="D42" s="16">
        <v>3.8880318462796402E-2</v>
      </c>
      <c r="E42" s="17">
        <v>2.0946200625884002</v>
      </c>
      <c r="F42" s="18">
        <v>0.72499999999999998</v>
      </c>
      <c r="G42" s="17">
        <v>0.87878787878787801</v>
      </c>
      <c r="H42" s="16">
        <v>6.0360863303350498E-2</v>
      </c>
      <c r="I42" s="17">
        <v>0.59026678635435803</v>
      </c>
      <c r="J42" s="16">
        <v>2.06918476664304E-2</v>
      </c>
      <c r="K42" s="17">
        <v>0.25074525400909198</v>
      </c>
    </row>
    <row r="43" spans="1:11" ht="16.5" x14ac:dyDescent="0.3">
      <c r="A43" s="1" t="s">
        <v>189</v>
      </c>
      <c r="B43" s="1" t="s">
        <v>34</v>
      </c>
      <c r="C43" s="1" t="s">
        <v>35</v>
      </c>
      <c r="D43" s="16">
        <v>4.91904589159467E-3</v>
      </c>
      <c r="E43" s="17">
        <v>0.59091057951512604</v>
      </c>
      <c r="F43" s="18">
        <v>0.57499999999999996</v>
      </c>
      <c r="G43" s="17">
        <v>4.2424242424242399E-2</v>
      </c>
      <c r="H43" s="16">
        <v>1.9684083710548101E-2</v>
      </c>
      <c r="I43" s="17">
        <v>-8.7238984912614906E-3</v>
      </c>
      <c r="J43" s="16">
        <v>-7.2282066069168397E-3</v>
      </c>
      <c r="K43" s="17">
        <v>-0.176679072117578</v>
      </c>
    </row>
    <row r="44" spans="1:11" ht="16.5" x14ac:dyDescent="0.3">
      <c r="A44" s="1" t="s">
        <v>187</v>
      </c>
      <c r="B44" s="1" t="s">
        <v>34</v>
      </c>
      <c r="C44" s="1" t="s">
        <v>35</v>
      </c>
      <c r="D44" s="16">
        <v>1.48726782723748E-2</v>
      </c>
      <c r="E44" s="17">
        <v>1.4237038103489801</v>
      </c>
      <c r="F44" s="18">
        <v>0.64166666666666605</v>
      </c>
      <c r="G44" s="17">
        <v>0.80606060606060503</v>
      </c>
      <c r="H44" s="16">
        <v>3.8518548305745998E-2</v>
      </c>
      <c r="I44" s="17">
        <v>0.33659057553371902</v>
      </c>
      <c r="J44" s="16">
        <v>3.4194798671068598E-3</v>
      </c>
      <c r="K44" s="17">
        <v>7.4543607786216104E-2</v>
      </c>
    </row>
    <row r="45" spans="1:11" ht="16.5" x14ac:dyDescent="0.3">
      <c r="A45" s="1" t="s">
        <v>188</v>
      </c>
      <c r="B45" s="1" t="s">
        <v>34</v>
      </c>
      <c r="C45" s="1" t="s">
        <v>35</v>
      </c>
      <c r="D45" s="16">
        <v>8.2231552541599494E-3</v>
      </c>
      <c r="E45" s="17">
        <v>1.0824579997438</v>
      </c>
      <c r="F45" s="18">
        <v>0.61666666666666603</v>
      </c>
      <c r="G45" s="17">
        <v>0.39393939393939298</v>
      </c>
      <c r="H45" s="16">
        <v>3.3334333134624597E-2</v>
      </c>
      <c r="I45" s="17">
        <v>0.37796568089728599</v>
      </c>
      <c r="J45" s="16">
        <v>3.42751359699087E-3</v>
      </c>
      <c r="K45" s="17">
        <v>8.7477526422117299E-2</v>
      </c>
    </row>
    <row r="46" spans="1:11" ht="16.5" x14ac:dyDescent="0.3">
      <c r="A46" s="1" t="s">
        <v>157</v>
      </c>
      <c r="B46" s="1" t="s">
        <v>34</v>
      </c>
      <c r="C46" s="1" t="s">
        <v>35</v>
      </c>
      <c r="D46" s="16">
        <v>2.1893081448815601E-2</v>
      </c>
      <c r="E46" s="17">
        <v>1.6310742847092099</v>
      </c>
      <c r="F46" s="18">
        <v>0.70833333333333304</v>
      </c>
      <c r="G46" s="17">
        <v>0.92727272727272703</v>
      </c>
      <c r="H46" s="16">
        <v>5.1024479105107302E-2</v>
      </c>
      <c r="I46" s="17">
        <v>0.45353897601258297</v>
      </c>
      <c r="J46" s="16">
        <v>3.3114652285825698E-2</v>
      </c>
      <c r="K46" s="17">
        <v>0.57075525692740503</v>
      </c>
    </row>
    <row r="47" spans="1:11" ht="16.5" x14ac:dyDescent="0.3">
      <c r="A47" s="1" t="s">
        <v>159</v>
      </c>
      <c r="B47" s="1" t="s">
        <v>34</v>
      </c>
      <c r="C47" s="1" t="s">
        <v>35</v>
      </c>
      <c r="D47" s="16">
        <v>2.10033212094194E-2</v>
      </c>
      <c r="E47" s="17">
        <v>1.34817233473516</v>
      </c>
      <c r="F47" s="18">
        <v>0.67500000000000004</v>
      </c>
      <c r="G47" s="17">
        <v>0.87878787878787801</v>
      </c>
      <c r="H47" s="16">
        <v>3.82629704009372E-2</v>
      </c>
      <c r="I47" s="17">
        <v>0.24205820496626501</v>
      </c>
      <c r="J47" s="16">
        <v>2.55040699085675E-2</v>
      </c>
      <c r="K47" s="17">
        <v>0.43693317436550599</v>
      </c>
    </row>
    <row r="48" spans="1:11" ht="16.5" x14ac:dyDescent="0.3">
      <c r="A48" s="1" t="s">
        <v>161</v>
      </c>
      <c r="B48" s="1" t="s">
        <v>34</v>
      </c>
      <c r="C48" s="1" t="s">
        <v>35</v>
      </c>
      <c r="D48" s="16">
        <v>2.07132225368118E-2</v>
      </c>
      <c r="E48" s="17">
        <v>1.2195853037461599</v>
      </c>
      <c r="F48" s="18">
        <v>0.63333333333333297</v>
      </c>
      <c r="G48" s="17">
        <v>0.79393939393939295</v>
      </c>
      <c r="H48" s="16">
        <v>5.5610461185209598E-2</v>
      </c>
      <c r="I48" s="17">
        <v>0.456123386886222</v>
      </c>
      <c r="J48" s="16">
        <v>3.8070330153702897E-2</v>
      </c>
      <c r="K48" s="17">
        <v>0.66680906329513601</v>
      </c>
    </row>
    <row r="49" spans="1:11" ht="16.5" x14ac:dyDescent="0.3">
      <c r="A49" s="1" t="s">
        <v>158</v>
      </c>
      <c r="B49" s="1" t="s">
        <v>34</v>
      </c>
      <c r="C49" s="1" t="s">
        <v>35</v>
      </c>
      <c r="D49" s="16">
        <v>1.60905907956948E-2</v>
      </c>
      <c r="E49" s="17">
        <v>1.7209660369319499</v>
      </c>
      <c r="F49" s="18">
        <v>0.68333333333333302</v>
      </c>
      <c r="G49" s="17">
        <v>0.85454545454545405</v>
      </c>
      <c r="H49" s="16">
        <v>3.93270711845152E-2</v>
      </c>
      <c r="I49" s="17">
        <v>0.36823467664809001</v>
      </c>
      <c r="J49" s="16">
        <v>2.54194412645312E-2</v>
      </c>
      <c r="K49" s="17">
        <v>0.85621628621594204</v>
      </c>
    </row>
    <row r="50" spans="1:11" ht="16.5" x14ac:dyDescent="0.3">
      <c r="A50" s="1" t="s">
        <v>160</v>
      </c>
      <c r="B50" s="1" t="s">
        <v>34</v>
      </c>
      <c r="C50" s="1" t="s">
        <v>35</v>
      </c>
      <c r="D50" s="16">
        <v>1.8188694244333701E-2</v>
      </c>
      <c r="E50" s="17">
        <v>1.96639372717224</v>
      </c>
      <c r="F50" s="18">
        <v>0.7</v>
      </c>
      <c r="G50" s="17">
        <v>0.91515151515151505</v>
      </c>
      <c r="H50" s="16">
        <v>3.7103139430618097E-2</v>
      </c>
      <c r="I50" s="17">
        <v>0.33681281858266299</v>
      </c>
      <c r="J50" s="16">
        <v>3.0939616687639698E-2</v>
      </c>
      <c r="K50" s="17">
        <v>0.97985683570040805</v>
      </c>
    </row>
    <row r="51" spans="1:11" ht="16.5" x14ac:dyDescent="0.3">
      <c r="A51" s="1" t="s">
        <v>162</v>
      </c>
      <c r="B51" s="1" t="s">
        <v>34</v>
      </c>
      <c r="C51" s="1" t="s">
        <v>35</v>
      </c>
      <c r="D51" s="16">
        <v>2.1660760778047499E-2</v>
      </c>
      <c r="E51" s="17">
        <v>2.1940659230644899</v>
      </c>
      <c r="F51" s="18">
        <v>0.73333333333333295</v>
      </c>
      <c r="G51" s="17">
        <v>0.89090909090908998</v>
      </c>
      <c r="H51" s="16">
        <v>4.5778870435435097E-2</v>
      </c>
      <c r="I51" s="17">
        <v>0.53121504235698702</v>
      </c>
      <c r="J51" s="16">
        <v>2.32119680059827E-2</v>
      </c>
      <c r="K51" s="17">
        <v>0.71735045531239205</v>
      </c>
    </row>
    <row r="52" spans="1:11" ht="16.5" x14ac:dyDescent="0.3">
      <c r="A52" s="1" t="s">
        <v>26</v>
      </c>
      <c r="B52" s="1" t="s">
        <v>34</v>
      </c>
      <c r="C52" s="1" t="s">
        <v>35</v>
      </c>
      <c r="D52" s="16">
        <v>3.5238172927917498E-2</v>
      </c>
      <c r="E52" s="17">
        <v>2.29780013616646</v>
      </c>
      <c r="F52" s="18">
        <v>0.79310344827586199</v>
      </c>
      <c r="G52" s="17">
        <v>0.78181818181818097</v>
      </c>
      <c r="H52" s="16">
        <v>0.141697311242789</v>
      </c>
      <c r="I52" s="17">
        <v>1.7446283927873401</v>
      </c>
      <c r="J52" s="16">
        <v>0.102358753861376</v>
      </c>
      <c r="K52" s="17">
        <v>1.7131323347513201</v>
      </c>
    </row>
    <row r="53" spans="1:11" ht="16.5" x14ac:dyDescent="0.3">
      <c r="A53" s="1" t="s">
        <v>195</v>
      </c>
      <c r="B53" s="1" t="s">
        <v>34</v>
      </c>
      <c r="C53" s="1" t="s">
        <v>35</v>
      </c>
      <c r="D53" s="16">
        <v>9.92157719998959E-3</v>
      </c>
      <c r="E53" s="17">
        <v>0.52641556803408496</v>
      </c>
      <c r="F53" s="18">
        <v>0.57333333333333303</v>
      </c>
      <c r="G53" s="17">
        <v>0.34545454545454501</v>
      </c>
      <c r="H53" s="16">
        <v>2.8191917670009801E-2</v>
      </c>
      <c r="I53" s="17">
        <v>0.102850907734473</v>
      </c>
      <c r="J53" s="16">
        <v>9.9108437019552603E-3</v>
      </c>
      <c r="K53" s="17">
        <v>0.232280891727914</v>
      </c>
    </row>
    <row r="54" spans="1:11" ht="16.5" x14ac:dyDescent="0.3">
      <c r="A54" s="1" t="s">
        <v>193</v>
      </c>
      <c r="B54" s="1" t="s">
        <v>34</v>
      </c>
      <c r="C54" s="1" t="s">
        <v>35</v>
      </c>
      <c r="D54" s="16">
        <v>1.3995251884254699E-2</v>
      </c>
      <c r="E54" s="17">
        <v>1.00311131247352</v>
      </c>
      <c r="F54" s="18">
        <v>0.65476190476190399</v>
      </c>
      <c r="G54" s="17">
        <v>0.39393939393939298</v>
      </c>
      <c r="H54" s="16">
        <v>7.2495258420054207E-2</v>
      </c>
      <c r="I54" s="17">
        <v>0.76754191478719402</v>
      </c>
      <c r="J54" s="16">
        <v>5.0563180416986403E-2</v>
      </c>
      <c r="K54" s="17">
        <v>0.84796756825594799</v>
      </c>
    </row>
    <row r="55" spans="1:11" ht="16.5" x14ac:dyDescent="0.3">
      <c r="A55" s="1" t="s">
        <v>194</v>
      </c>
      <c r="B55" s="1" t="s">
        <v>34</v>
      </c>
      <c r="C55" s="1" t="s">
        <v>35</v>
      </c>
      <c r="D55" s="16">
        <v>1.43314406715613E-2</v>
      </c>
      <c r="E55" s="17">
        <v>0.98801177674484497</v>
      </c>
      <c r="F55" s="18">
        <v>0.55555555555555503</v>
      </c>
      <c r="G55" s="17">
        <v>0.45454545454545398</v>
      </c>
      <c r="H55" s="16">
        <v>3.3243950243278003E-2</v>
      </c>
      <c r="I55" s="17">
        <v>0.19447454657353899</v>
      </c>
      <c r="J55" s="16">
        <v>6.1789952896373198E-3</v>
      </c>
      <c r="K55" s="17">
        <v>0.12486355817934</v>
      </c>
    </row>
    <row r="56" spans="1:11" ht="16.5" x14ac:dyDescent="0.3">
      <c r="A56" s="1" t="s">
        <v>169</v>
      </c>
      <c r="B56" s="1" t="s">
        <v>34</v>
      </c>
      <c r="C56" s="1" t="s">
        <v>35</v>
      </c>
      <c r="D56" s="16">
        <v>1.8277391423205998E-2</v>
      </c>
      <c r="E56" s="17">
        <v>1.63622597296219</v>
      </c>
      <c r="F56" s="18">
        <v>0.73170731707317005</v>
      </c>
      <c r="G56" s="17">
        <v>0.67272727272727195</v>
      </c>
      <c r="H56" s="16">
        <v>5.4903564450575502E-2</v>
      </c>
      <c r="I56" s="17">
        <v>0.540322568485468</v>
      </c>
      <c r="J56" s="16">
        <v>4.6053755478586998E-2</v>
      </c>
      <c r="K56" s="17">
        <v>1.0924494282766899</v>
      </c>
    </row>
    <row r="57" spans="1:11" ht="16.5" x14ac:dyDescent="0.3">
      <c r="A57" s="1" t="s">
        <v>171</v>
      </c>
      <c r="B57" s="1" t="s">
        <v>34</v>
      </c>
      <c r="C57" s="1" t="s">
        <v>35</v>
      </c>
      <c r="D57" s="16">
        <v>1.6569287712379401E-2</v>
      </c>
      <c r="E57" s="17">
        <v>1.19608895131769</v>
      </c>
      <c r="F57" s="18">
        <v>0.67105263157894701</v>
      </c>
      <c r="G57" s="17">
        <v>0.28484848484848402</v>
      </c>
      <c r="H57" s="16">
        <v>4.9687036810616099E-2</v>
      </c>
      <c r="I57" s="17">
        <v>0.47308073325754502</v>
      </c>
      <c r="J57" s="16">
        <v>4.1715597528825497E-2</v>
      </c>
      <c r="K57" s="17">
        <v>1.02418148880702</v>
      </c>
    </row>
    <row r="58" spans="1:11" ht="16.5" x14ac:dyDescent="0.3">
      <c r="A58" s="1" t="s">
        <v>173</v>
      </c>
      <c r="B58" s="1" t="s">
        <v>34</v>
      </c>
      <c r="C58" s="1" t="s">
        <v>35</v>
      </c>
      <c r="D58" s="16">
        <v>9.4551988022613994E-3</v>
      </c>
      <c r="E58" s="17">
        <v>0.79736329502720404</v>
      </c>
      <c r="F58" s="18">
        <v>0.61428571428571399</v>
      </c>
      <c r="G58" s="17">
        <v>-6.0606060606060597E-3</v>
      </c>
      <c r="H58" s="16">
        <v>2.5235838021559601E-2</v>
      </c>
      <c r="I58" s="17">
        <v>7.2341718980218295E-2</v>
      </c>
      <c r="J58" s="16">
        <v>2.4125464693762502E-2</v>
      </c>
      <c r="K58" s="17">
        <v>0.71978878687224201</v>
      </c>
    </row>
    <row r="59" spans="1:11" ht="16.5" x14ac:dyDescent="0.3">
      <c r="A59" s="1" t="s">
        <v>170</v>
      </c>
      <c r="B59" s="1" t="s">
        <v>34</v>
      </c>
      <c r="C59" s="1" t="s">
        <v>35</v>
      </c>
      <c r="D59" s="16">
        <v>2.3062599830310299E-2</v>
      </c>
      <c r="E59" s="17">
        <v>1.49057060272792</v>
      </c>
      <c r="F59" s="18">
        <v>0.64634146341463405</v>
      </c>
      <c r="G59" s="17">
        <v>0.80606060606060503</v>
      </c>
      <c r="H59" s="16">
        <v>4.8655741147229099E-2</v>
      </c>
      <c r="I59" s="17">
        <v>0.35808439450885599</v>
      </c>
      <c r="J59" s="16">
        <v>2.8189626157866601E-2</v>
      </c>
      <c r="K59" s="17">
        <v>0.69778221203323298</v>
      </c>
    </row>
    <row r="60" spans="1:11" ht="16.5" x14ac:dyDescent="0.3">
      <c r="A60" s="1" t="s">
        <v>172</v>
      </c>
      <c r="B60" s="1" t="s">
        <v>34</v>
      </c>
      <c r="C60" s="1" t="s">
        <v>35</v>
      </c>
      <c r="D60" s="16">
        <v>3.5962261195003897E-2</v>
      </c>
      <c r="E60" s="17">
        <v>2.2913719208449002</v>
      </c>
      <c r="F60" s="18">
        <v>0.76315789473684204</v>
      </c>
      <c r="G60" s="17">
        <v>0.86666666666666603</v>
      </c>
      <c r="H60" s="16">
        <v>0.103715866856569</v>
      </c>
      <c r="I60" s="17">
        <v>1.16637877539875</v>
      </c>
      <c r="J60" s="16">
        <v>4.5785609363785597E-2</v>
      </c>
      <c r="K60" s="17">
        <v>1.1089642712656</v>
      </c>
    </row>
    <row r="61" spans="1:11" ht="16.5" x14ac:dyDescent="0.3">
      <c r="A61" s="1" t="s">
        <v>174</v>
      </c>
      <c r="B61" s="1" t="s">
        <v>34</v>
      </c>
      <c r="C61" s="1" t="s">
        <v>35</v>
      </c>
      <c r="D61" s="16">
        <v>3.2067720244513299E-2</v>
      </c>
      <c r="E61" s="17">
        <v>2.3224867683211698</v>
      </c>
      <c r="F61" s="18">
        <v>0.78571428571428503</v>
      </c>
      <c r="G61" s="17">
        <v>0.939393939393939</v>
      </c>
      <c r="H61" s="16">
        <v>8.88148170926783E-2</v>
      </c>
      <c r="I61" s="17">
        <v>0.98389671131557499</v>
      </c>
      <c r="J61" s="16">
        <v>3.0936145493230201E-2</v>
      </c>
      <c r="K61" s="17">
        <v>0.79749407987945298</v>
      </c>
    </row>
    <row r="62" spans="1:11" ht="16.5" x14ac:dyDescent="0.3">
      <c r="A62" s="1" t="s">
        <v>17</v>
      </c>
      <c r="B62" s="1" t="s">
        <v>34</v>
      </c>
      <c r="C62" s="1" t="s">
        <v>35</v>
      </c>
      <c r="D62" s="16">
        <v>5.3429065868434197E-2</v>
      </c>
      <c r="E62" s="17">
        <v>2.36527106621921</v>
      </c>
      <c r="F62" s="18">
        <v>0.74166666666666603</v>
      </c>
      <c r="G62" s="17">
        <v>0.96363636363636296</v>
      </c>
      <c r="H62" s="16">
        <v>8.6635898598631106E-2</v>
      </c>
      <c r="I62" s="17">
        <v>0.62325772905942001</v>
      </c>
      <c r="J62" s="16">
        <v>3.7166556514734897E-2</v>
      </c>
      <c r="K62" s="17">
        <v>0.43875556012400602</v>
      </c>
    </row>
    <row r="63" spans="1:11" ht="16.5" x14ac:dyDescent="0.3">
      <c r="A63" s="1" t="s">
        <v>180</v>
      </c>
      <c r="B63" s="1" t="s">
        <v>34</v>
      </c>
      <c r="C63" s="1" t="s">
        <v>35</v>
      </c>
      <c r="D63" s="16">
        <v>2.1866538661547801E-2</v>
      </c>
      <c r="E63" s="17">
        <v>1.4245928951648501</v>
      </c>
      <c r="F63" s="18">
        <v>0.65833333333333299</v>
      </c>
      <c r="G63" s="17">
        <v>0.30909090909090903</v>
      </c>
      <c r="H63" s="16">
        <v>3.8274536010143502E-2</v>
      </c>
      <c r="I63" s="17">
        <v>0.28277067938365302</v>
      </c>
      <c r="J63" s="16">
        <v>-3.65501107284937E-2</v>
      </c>
      <c r="K63" s="17">
        <v>-0.78284811627876005</v>
      </c>
    </row>
    <row r="64" spans="1:11" ht="16.5" x14ac:dyDescent="0.3">
      <c r="A64" s="1" t="s">
        <v>178</v>
      </c>
      <c r="B64" s="1" t="s">
        <v>34</v>
      </c>
      <c r="C64" s="1" t="s">
        <v>35</v>
      </c>
      <c r="D64" s="16">
        <v>3.19908355854681E-2</v>
      </c>
      <c r="E64" s="17">
        <v>1.9033564544002299</v>
      </c>
      <c r="F64" s="18">
        <v>0.7</v>
      </c>
      <c r="G64" s="17">
        <v>0.648484848484848</v>
      </c>
      <c r="H64" s="16">
        <v>7.5888527637824194E-2</v>
      </c>
      <c r="I64" s="17">
        <v>0.70086760875430398</v>
      </c>
      <c r="J64" s="16">
        <v>6.59884435918459E-4</v>
      </c>
      <c r="K64" s="17">
        <v>1.2824846459536901E-2</v>
      </c>
    </row>
    <row r="65" spans="1:11" ht="16.5" x14ac:dyDescent="0.3">
      <c r="A65" s="1" t="s">
        <v>179</v>
      </c>
      <c r="B65" s="1" t="s">
        <v>34</v>
      </c>
      <c r="C65" s="1" t="s">
        <v>35</v>
      </c>
      <c r="D65" s="16">
        <v>2.6140328990464302E-2</v>
      </c>
      <c r="E65" s="17">
        <v>1.50358366693003</v>
      </c>
      <c r="F65" s="18">
        <v>0.64166666666666605</v>
      </c>
      <c r="G65" s="17">
        <v>0.51515151515151503</v>
      </c>
      <c r="H65" s="16">
        <v>4.1462022074706999E-2</v>
      </c>
      <c r="I65" s="17">
        <v>0.27376702941560699</v>
      </c>
      <c r="J65" s="16">
        <v>-2.5778765140612302E-2</v>
      </c>
      <c r="K65" s="17">
        <v>-0.53570684292833703</v>
      </c>
    </row>
    <row r="66" spans="1:11" ht="16.5" x14ac:dyDescent="0.3">
      <c r="A66" s="1" t="s">
        <v>139</v>
      </c>
      <c r="B66" s="1" t="s">
        <v>34</v>
      </c>
      <c r="C66" s="1" t="s">
        <v>35</v>
      </c>
      <c r="D66" s="16">
        <v>3.9786726494721397E-2</v>
      </c>
      <c r="E66" s="17">
        <v>2.4332838968883199</v>
      </c>
      <c r="F66" s="18">
        <v>0.78333333333333299</v>
      </c>
      <c r="G66" s="17">
        <v>0.95151515151515098</v>
      </c>
      <c r="H66" s="16">
        <v>7.6831773732930098E-2</v>
      </c>
      <c r="I66" s="17">
        <v>0.69154736559301599</v>
      </c>
      <c r="J66" s="16">
        <v>4.9713676166105697E-2</v>
      </c>
      <c r="K66" s="17">
        <v>0.73630069471362203</v>
      </c>
    </row>
    <row r="67" spans="1:11" ht="16.5" x14ac:dyDescent="0.3">
      <c r="A67" s="1" t="s">
        <v>141</v>
      </c>
      <c r="B67" s="1" t="s">
        <v>34</v>
      </c>
      <c r="C67" s="1" t="s">
        <v>35</v>
      </c>
      <c r="D67" s="16">
        <v>3.5664449540240797E-2</v>
      </c>
      <c r="E67" s="17">
        <v>2.1499747081269698</v>
      </c>
      <c r="F67" s="18">
        <v>0.75</v>
      </c>
      <c r="G67" s="17">
        <v>0.97575757575757505</v>
      </c>
      <c r="H67" s="16">
        <v>6.8101709822861803E-2</v>
      </c>
      <c r="I67" s="17">
        <v>0.54714815711445697</v>
      </c>
      <c r="J67" s="16">
        <v>4.4990464634054199E-2</v>
      </c>
      <c r="K67" s="17">
        <v>0.61205721338805597</v>
      </c>
    </row>
    <row r="68" spans="1:11" ht="16.5" x14ac:dyDescent="0.3">
      <c r="A68" s="1" t="s">
        <v>143</v>
      </c>
      <c r="B68" s="1" t="s">
        <v>34</v>
      </c>
      <c r="C68" s="1" t="s">
        <v>35</v>
      </c>
      <c r="D68" s="16">
        <v>3.1546190400175297E-2</v>
      </c>
      <c r="E68" s="17">
        <v>1.83441541286564</v>
      </c>
      <c r="F68" s="18">
        <v>0.75</v>
      </c>
      <c r="G68" s="17">
        <v>0.86666666666666603</v>
      </c>
      <c r="H68" s="16">
        <v>6.0284102562414399E-2</v>
      </c>
      <c r="I68" s="17">
        <v>0.47482175933938497</v>
      </c>
      <c r="J68" s="16">
        <v>3.8268127703664098E-2</v>
      </c>
      <c r="K68" s="17">
        <v>0.51910474395851203</v>
      </c>
    </row>
    <row r="69" spans="1:11" ht="16.5" x14ac:dyDescent="0.3">
      <c r="A69" s="1" t="s">
        <v>140</v>
      </c>
      <c r="B69" s="1" t="s">
        <v>34</v>
      </c>
      <c r="C69" s="1" t="s">
        <v>35</v>
      </c>
      <c r="D69" s="16">
        <v>3.7218581952911098E-2</v>
      </c>
      <c r="E69" s="17">
        <v>1.93927762009794</v>
      </c>
      <c r="F69" s="18">
        <v>0.7</v>
      </c>
      <c r="G69" s="17">
        <v>0.96363636363636296</v>
      </c>
      <c r="H69" s="16">
        <v>8.9444727183755096E-2</v>
      </c>
      <c r="I69" s="17">
        <v>0.74889100780979001</v>
      </c>
      <c r="J69" s="16">
        <v>3.8462358280939898E-2</v>
      </c>
      <c r="K69" s="17">
        <v>0.86173685923874399</v>
      </c>
    </row>
    <row r="70" spans="1:11" ht="16.5" x14ac:dyDescent="0.3">
      <c r="A70" s="1" t="s">
        <v>142</v>
      </c>
      <c r="B70" s="1" t="s">
        <v>34</v>
      </c>
      <c r="C70" s="1" t="s">
        <v>35</v>
      </c>
      <c r="D70" s="16">
        <v>3.6409733779594798E-2</v>
      </c>
      <c r="E70" s="17">
        <v>2.0157784206866198</v>
      </c>
      <c r="F70" s="18">
        <v>0.74166666666666603</v>
      </c>
      <c r="G70" s="17">
        <v>0.89090909090908998</v>
      </c>
      <c r="H70" s="16">
        <v>7.2270841512165104E-2</v>
      </c>
      <c r="I70" s="17">
        <v>0.57819125653659098</v>
      </c>
      <c r="J70" s="16">
        <v>1.76632062586667E-2</v>
      </c>
      <c r="K70" s="17">
        <v>0.36542391930975598</v>
      </c>
    </row>
    <row r="71" spans="1:11" ht="16.5" x14ac:dyDescent="0.3">
      <c r="A71" s="1" t="s">
        <v>144</v>
      </c>
      <c r="B71" s="1" t="s">
        <v>34</v>
      </c>
      <c r="C71" s="1" t="s">
        <v>35</v>
      </c>
      <c r="D71" s="16">
        <v>3.8224357555707002E-2</v>
      </c>
      <c r="E71" s="17">
        <v>2.2207507091596899</v>
      </c>
      <c r="F71" s="18">
        <v>0.72499999999999998</v>
      </c>
      <c r="G71" s="17">
        <v>0.89090909090908998</v>
      </c>
      <c r="H71" s="16">
        <v>7.0245650329244597E-2</v>
      </c>
      <c r="I71" s="17">
        <v>0.63735699895451603</v>
      </c>
      <c r="J71" s="16">
        <v>2.1440734512239601E-2</v>
      </c>
      <c r="K71" s="17">
        <v>0.45190065350478598</v>
      </c>
    </row>
    <row r="72" spans="1:11" ht="16.5" x14ac:dyDescent="0.3">
      <c r="A72" s="1" t="s">
        <v>18</v>
      </c>
      <c r="B72" s="1" t="s">
        <v>34</v>
      </c>
      <c r="C72" s="1" t="s">
        <v>35</v>
      </c>
      <c r="D72" s="16">
        <v>3.5943556651155902E-2</v>
      </c>
      <c r="E72" s="17">
        <v>1.8382548681170201</v>
      </c>
      <c r="F72" s="18">
        <v>0.70833333333333304</v>
      </c>
      <c r="G72" s="17">
        <v>0.97575757575757505</v>
      </c>
      <c r="H72" s="16">
        <v>9.6246310366540896E-2</v>
      </c>
      <c r="I72" s="17">
        <v>1.2788047594282801</v>
      </c>
      <c r="J72" s="16">
        <v>3.3744124780229499E-2</v>
      </c>
      <c r="K72" s="17">
        <v>0.56988981836833297</v>
      </c>
    </row>
    <row r="73" spans="1:11" ht="16.5" x14ac:dyDescent="0.3">
      <c r="A73" s="1" t="s">
        <v>183</v>
      </c>
      <c r="B73" s="1" t="s">
        <v>34</v>
      </c>
      <c r="C73" s="1" t="s">
        <v>35</v>
      </c>
      <c r="D73" s="16">
        <v>2.3403600620691099E-2</v>
      </c>
      <c r="E73" s="17">
        <v>1.5819688942661101</v>
      </c>
      <c r="F73" s="18">
        <v>0.65833333333333299</v>
      </c>
      <c r="G73" s="17">
        <v>0.35757575757575699</v>
      </c>
      <c r="H73" s="16">
        <v>9.2176757927563399E-2</v>
      </c>
      <c r="I73" s="17">
        <v>1.0286171858686799</v>
      </c>
      <c r="J73" s="16">
        <v>-2.9623524060034402E-3</v>
      </c>
      <c r="K73" s="17">
        <v>-7.0765859664865094E-2</v>
      </c>
    </row>
    <row r="74" spans="1:11" ht="16.5" x14ac:dyDescent="0.3">
      <c r="A74" s="1" t="s">
        <v>181</v>
      </c>
      <c r="B74" s="1" t="s">
        <v>34</v>
      </c>
      <c r="C74" s="1" t="s">
        <v>35</v>
      </c>
      <c r="D74" s="16">
        <v>2.63199272219534E-2</v>
      </c>
      <c r="E74" s="17">
        <v>2.0221232548963699</v>
      </c>
      <c r="F74" s="18">
        <v>0.70833333333333304</v>
      </c>
      <c r="G74" s="17">
        <v>0.63636363636363602</v>
      </c>
      <c r="H74" s="16">
        <v>9.1207600920276605E-2</v>
      </c>
      <c r="I74" s="17">
        <v>1.1522216138114401</v>
      </c>
      <c r="J74" s="16">
        <v>1.46719725105057E-2</v>
      </c>
      <c r="K74" s="17">
        <v>0.35592695894916199</v>
      </c>
    </row>
    <row r="75" spans="1:11" ht="16.5" x14ac:dyDescent="0.3">
      <c r="A75" s="1" t="s">
        <v>182</v>
      </c>
      <c r="B75" s="1" t="s">
        <v>34</v>
      </c>
      <c r="C75" s="1" t="s">
        <v>35</v>
      </c>
      <c r="D75" s="16">
        <v>2.4744673467234201E-2</v>
      </c>
      <c r="E75" s="17">
        <v>1.84461233645282</v>
      </c>
      <c r="F75" s="18">
        <v>0.69166666666666599</v>
      </c>
      <c r="G75" s="17">
        <v>0.40606060606060601</v>
      </c>
      <c r="H75" s="16">
        <v>9.1792206237915994E-2</v>
      </c>
      <c r="I75" s="17">
        <v>1.0645273140201701</v>
      </c>
      <c r="J75" s="16">
        <v>4.6412444428153296E-3</v>
      </c>
      <c r="K75" s="17">
        <v>0.11536541439760201</v>
      </c>
    </row>
    <row r="76" spans="1:11" ht="16.5" x14ac:dyDescent="0.3">
      <c r="A76" s="1" t="s">
        <v>145</v>
      </c>
      <c r="B76" s="1" t="s">
        <v>34</v>
      </c>
      <c r="C76" s="1" t="s">
        <v>35</v>
      </c>
      <c r="D76" s="16">
        <v>2.62744516951464E-2</v>
      </c>
      <c r="E76" s="17">
        <v>2.0524885206741899</v>
      </c>
      <c r="F76" s="18">
        <v>0.77500000000000002</v>
      </c>
      <c r="G76" s="17">
        <v>0.98787878787878702</v>
      </c>
      <c r="H76" s="16">
        <v>7.0632313949626296E-2</v>
      </c>
      <c r="I76" s="17">
        <v>0.753662775390187</v>
      </c>
      <c r="J76" s="16">
        <v>3.33540814485093E-2</v>
      </c>
      <c r="K76" s="17">
        <v>0.53842086667341305</v>
      </c>
    </row>
    <row r="77" spans="1:11" ht="16.5" x14ac:dyDescent="0.3">
      <c r="A77" s="1" t="s">
        <v>147</v>
      </c>
      <c r="B77" s="1" t="s">
        <v>34</v>
      </c>
      <c r="C77" s="1" t="s">
        <v>35</v>
      </c>
      <c r="D77" s="16">
        <v>2.1769246724371399E-2</v>
      </c>
      <c r="E77" s="17">
        <v>1.7073620673455301</v>
      </c>
      <c r="F77" s="18">
        <v>0.73333333333333295</v>
      </c>
      <c r="G77" s="17">
        <v>0.95151515151515098</v>
      </c>
      <c r="H77" s="16">
        <v>5.68590081417212E-2</v>
      </c>
      <c r="I77" s="17">
        <v>0.54394331048973799</v>
      </c>
      <c r="J77" s="16">
        <v>2.5556074280285699E-2</v>
      </c>
      <c r="K77" s="17">
        <v>0.398655405278668</v>
      </c>
    </row>
    <row r="78" spans="1:11" ht="16.5" x14ac:dyDescent="0.3">
      <c r="A78" s="1" t="s">
        <v>149</v>
      </c>
      <c r="B78" s="1" t="s">
        <v>34</v>
      </c>
      <c r="C78" s="1" t="s">
        <v>35</v>
      </c>
      <c r="D78" s="16">
        <v>1.8156983947177501E-2</v>
      </c>
      <c r="E78" s="17">
        <v>1.4364176413515299</v>
      </c>
      <c r="F78" s="18">
        <v>0.68333333333333302</v>
      </c>
      <c r="G78" s="17">
        <v>0.92727272727272703</v>
      </c>
      <c r="H78" s="16">
        <v>5.1130970035693599E-2</v>
      </c>
      <c r="I78" s="17">
        <v>0.45989019097189099</v>
      </c>
      <c r="J78" s="16">
        <v>2.6153436166521202E-2</v>
      </c>
      <c r="K78" s="17">
        <v>0.40522517001483599</v>
      </c>
    </row>
    <row r="79" spans="1:11" ht="16.5" x14ac:dyDescent="0.3">
      <c r="A79" s="1" t="s">
        <v>146</v>
      </c>
      <c r="B79" s="1" t="s">
        <v>34</v>
      </c>
      <c r="C79" s="1" t="s">
        <v>35</v>
      </c>
      <c r="D79" s="16">
        <v>3.6783472014364597E-2</v>
      </c>
      <c r="E79" s="17">
        <v>2.3622143822891801</v>
      </c>
      <c r="F79" s="18">
        <v>0.77500000000000002</v>
      </c>
      <c r="G79" s="17">
        <v>0.97575757575757505</v>
      </c>
      <c r="H79" s="16">
        <v>0.107326056408827</v>
      </c>
      <c r="I79" s="17">
        <v>1.0278382713185401</v>
      </c>
      <c r="J79" s="16">
        <v>4.2047693940667097E-2</v>
      </c>
      <c r="K79" s="17">
        <v>0.92217190611894795</v>
      </c>
    </row>
    <row r="80" spans="1:11" ht="16.5" x14ac:dyDescent="0.3">
      <c r="A80" s="1" t="s">
        <v>148</v>
      </c>
      <c r="B80" s="1" t="s">
        <v>34</v>
      </c>
      <c r="C80" s="1" t="s">
        <v>35</v>
      </c>
      <c r="D80" s="16">
        <v>3.8334512675966097E-2</v>
      </c>
      <c r="E80" s="17">
        <v>2.3341539585282001</v>
      </c>
      <c r="F80" s="18">
        <v>0.75833333333333297</v>
      </c>
      <c r="G80" s="17">
        <v>0.91515151515151505</v>
      </c>
      <c r="H80" s="16">
        <v>0.12718092158602601</v>
      </c>
      <c r="I80" s="17">
        <v>1.3430720863504899</v>
      </c>
      <c r="J80" s="16">
        <v>4.7700376160688299E-2</v>
      </c>
      <c r="K80" s="17">
        <v>1.1147437941551299</v>
      </c>
    </row>
    <row r="81" spans="1:11" ht="16.5" x14ac:dyDescent="0.3">
      <c r="A81" s="1" t="s">
        <v>150</v>
      </c>
      <c r="B81" s="1" t="s">
        <v>34</v>
      </c>
      <c r="C81" s="1" t="s">
        <v>35</v>
      </c>
      <c r="D81" s="16">
        <v>3.9115983673315299E-2</v>
      </c>
      <c r="E81" s="17">
        <v>2.4416064189503599</v>
      </c>
      <c r="F81" s="18">
        <v>0.75833333333333297</v>
      </c>
      <c r="G81" s="17">
        <v>0.98787878787878702</v>
      </c>
      <c r="H81" s="16">
        <v>0.12724445580714799</v>
      </c>
      <c r="I81" s="17">
        <v>1.39407607580684</v>
      </c>
      <c r="J81" s="16">
        <v>4.9260939385064803E-2</v>
      </c>
      <c r="K81" s="17">
        <v>1.1647903235239101</v>
      </c>
    </row>
  </sheetData>
  <sortState xmlns:xlrd2="http://schemas.microsoft.com/office/spreadsheetml/2017/richdata2" ref="A2:K82">
    <sortCondition ref="A1:A82"/>
  </sortState>
  <phoneticPr fontId="1" type="noConversion"/>
  <conditionalFormatting sqref="D2:D81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:E81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2:F8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{6D840410-4F03-4E36-A9F4-3AF659C9FEB5}</x14:id>
        </ext>
      </extLst>
    </cfRule>
  </conditionalFormatting>
  <conditionalFormatting sqref="G2:G8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{B8565222-C6B9-444D-917D-2F89181B4D3E}</x14:id>
        </ext>
      </extLst>
    </cfRule>
  </conditionalFormatting>
  <conditionalFormatting sqref="H2:H8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8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81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8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840410-4F03-4E36-A9F4-3AF659C9FE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F2:F81</xm:sqref>
        </x14:conditionalFormatting>
        <x14:conditionalFormatting xmlns:xm="http://schemas.microsoft.com/office/excel/2006/main">
          <x14:cfRule type="dataBar" id="{B8565222-C6B9-444D-917D-2F89181B4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附录1_所有因子表现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chen</dc:creator>
  <cp:lastModifiedBy>hua chen</cp:lastModifiedBy>
  <dcterms:created xsi:type="dcterms:W3CDTF">2026-02-02T22:28:25Z</dcterms:created>
  <dcterms:modified xsi:type="dcterms:W3CDTF">2026-02-03T04:17:19Z</dcterms:modified>
</cp:coreProperties>
</file>